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angtao/Documents/部署/"/>
    </mc:Choice>
  </mc:AlternateContent>
  <xr:revisionPtr revIDLastSave="0" documentId="8_{9D278EF5-EFE9-6446-A0E8-E1AB47E6006E}" xr6:coauthVersionLast="47" xr6:coauthVersionMax="47" xr10:uidLastSave="{00000000-0000-0000-0000-000000000000}"/>
  <bookViews>
    <workbookView xWindow="0" yWindow="660" windowWidth="30240" windowHeight="17720" activeTab="1" xr2:uid="{00000000-000D-0000-FFFF-FFFF00000000}"/>
  </bookViews>
  <sheets>
    <sheet name="服务器资源清单" sheetId="1" r:id="rId1"/>
    <sheet name="应用架构+部署架构" sheetId="3" r:id="rId2"/>
    <sheet name="网络部署拓扑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3" l="1"/>
  <c r="N23" i="3"/>
  <c r="P22" i="3"/>
  <c r="P23" i="3" s="1"/>
  <c r="O22" i="3"/>
  <c r="N22" i="3"/>
  <c r="M22" i="3"/>
  <c r="L22" i="3"/>
  <c r="K22" i="3"/>
  <c r="P21" i="3"/>
  <c r="O21" i="3"/>
  <c r="N21" i="3"/>
  <c r="M21" i="3"/>
  <c r="L21" i="3"/>
  <c r="K21" i="3"/>
  <c r="P20" i="3"/>
  <c r="O20" i="3"/>
  <c r="N20" i="3"/>
  <c r="M20" i="3"/>
  <c r="L20" i="3"/>
  <c r="K20" i="3"/>
  <c r="P19" i="3"/>
  <c r="O19" i="3"/>
  <c r="N19" i="3"/>
  <c r="M19" i="3"/>
  <c r="L19" i="3"/>
  <c r="K19" i="3"/>
  <c r="P18" i="3"/>
  <c r="O18" i="3"/>
  <c r="N18" i="3"/>
  <c r="M18" i="3"/>
  <c r="M23" i="3" s="1"/>
  <c r="L18" i="3"/>
  <c r="L23" i="3" s="1"/>
  <c r="K18" i="3"/>
  <c r="K23" i="3" s="1"/>
</calcChain>
</file>

<file path=xl/sharedStrings.xml><?xml version="1.0" encoding="utf-8"?>
<sst xmlns="http://schemas.openxmlformats.org/spreadsheetml/2006/main" count="285" uniqueCount="237">
  <si>
    <t>序号</t>
  </si>
  <si>
    <t>系统名称</t>
  </si>
  <si>
    <t>环境类型</t>
  </si>
  <si>
    <t>资源用途</t>
  </si>
  <si>
    <t>产品类型</t>
  </si>
  <si>
    <t>系统</t>
  </si>
  <si>
    <t>实例 个数</t>
  </si>
  <si>
    <t>海光CPU(单位个数）</t>
  </si>
  <si>
    <t>内存(单位GB）</t>
  </si>
  <si>
    <t>存储(单位GB）</t>
  </si>
  <si>
    <t>备注</t>
  </si>
  <si>
    <t>TeGo-OS Avatar数字分身平台
服务器合计5台</t>
  </si>
  <si>
    <t>生产环境
5台服务器</t>
  </si>
  <si>
    <t>Avatar分身版K3s高可用计算节点（Studio、API、文档转换、浏览器池、动态分身）</t>
  </si>
  <si>
    <t>ECS / PC服务器</t>
  </si>
  <si>
    <t>Ubuntu 22.04+ / Debian 12+，amd64</t>
  </si>
  <si>
    <t>K3s节点：172.22.70.175、172.22.70.176、172.22.70.174。每台8C/16G/300G为部署文档最低配置；运行应用与共享分身Pod，仅暴露5178分身Studio入口。</t>
  </si>
  <si>
    <t>数据与存储基础设施节点（PostgreSQL、Redis、Garage、OpenLDAP）</t>
  </si>
  <si>
    <t>300（系统盘/台）</t>
  </si>
  <si>
    <t>数据节点Data-1、Data-2，IP待分配。每台暂按8C/16G/300G最低规格申请；数据库与Garage业务数据盘须按数据量、留存周期和备份策略另行核定。服务器总数=3台K3s+2台数据存储=5台。</t>
  </si>
  <si>
    <t>Avatar核心业务数据库</t>
  </si>
  <si>
    <t>外置 PostgreSQL</t>
  </si>
  <si>
    <t>pgvector/pgvector:pg17</t>
  </si>
  <si>
    <t>2（计划双节点）</t>
  </si>
  <si>
    <t>/NA（共享数据节点）</t>
  </si>
  <si>
    <t>/NA（使用业务数据盘）</t>
  </si>
  <si>
    <t>运行于Data-1、Data-2，端口5432；创建tego-os与agentic-rag数据库。主备、自动切换、备份与恢复机制需按交付方案配置并验证。</t>
  </si>
  <si>
    <t>缓存、会话与分身运行协调</t>
  </si>
  <si>
    <t>外置 Redis</t>
  </si>
  <si>
    <t>redis:7.4.1（AOF）</t>
  </si>
  <si>
    <t>运行于Data-1、Data-2，端口6379，启用AOF与密码认证；主从/哨兵或集群模式及故障切换需按交付方案配置并验证。</t>
  </si>
  <si>
    <t>分身文件与CDN对象存储</t>
  </si>
  <si>
    <t>外置 Garage</t>
  </si>
  <si>
    <t>dxflrs/garage:v2.2.0</t>
  </si>
  <si>
    <t>运行于Data-1、Data-2；S3 3900、Web 3902、管理3903、WebUI 3909。双节点不等同完整高可用，副本、故障域和备份策略需专项确认。</t>
  </si>
  <si>
    <t>统一目录与认证</t>
  </si>
  <si>
    <t>外置 OpenLDAP</t>
  </si>
  <si>
    <t>ghcr.io/zhama-ai/openldap:v1.1.0</t>
  </si>
  <si>
    <t>1（运行于数据节点）</t>
  </si>
  <si>
    <t>运行于数据节点，端口389；LDAP数据库与配置持久化。若需目录服务高可用，须另行配置复制和故障切换。</t>
  </si>
  <si>
    <t>共享数字分身运行容量（按在线用户弹性扩缩）</t>
  </si>
  <si>
    <t>K8s动态Pod + Browser Pool</t>
  </si>
  <si>
    <t>tego-claw / tego-browser</t>
  </si>
  <si>
    <t>分身0~10副本/部署（浏览器池固定2）</t>
  </si>
  <si>
    <t>分身1/Pod；浏览器2/Pod（上限）</t>
  </si>
  <si>
    <t>分身2/Pod；浏览器4/Pod（上限）</t>
  </si>
  <si>
    <t>/NA（运行数据进Garage）</t>
  </si>
  <si>
    <t>仅共享数字分身。默认按50名在线用户/副本扩缩，空闲可缩至0，单部署最多10副本；该值是容量初始参数，须按技能、工具链和浏览器并发压测校准。当前未配置独立日志/监控平台。</t>
  </si>
  <si>
    <t>TeGo-OS Avatar 数字分身版｜应用架构与部署架构</t>
  </si>
  <si>
    <t>生产环境：5台服务器（3节点 K3s HA + 2节点数据/存储）｜Avatar版本 v2.16.0｜架构 amd64｜对外入口 5178</t>
  </si>
  <si>
    <t>用户与客户端
Browser / Desktop
Office / Mobile</t>
  </si>
  <si>
    <t>→</t>
  </si>
  <si>
    <t>Nginx Gateway
DaemonSet × 3
hostPort 5178</t>
  </si>
  <si>
    <t>tego-system
Avatar Studio :8080
Server :3100 / LibreOffice :2004</t>
  </si>
  <si>
    <t>Data-1 / Data-2
PostgreSQL / Redis
OpenLDAP / Garage S3</t>
  </si>
  <si>
    <t>tego-server
通过 K8s API 编排分身</t>
  </si>
  <si>
    <t>tego-avatars
Browser Pool × 2
动态 tego-claw Pod</t>
  </si>
  <si>
    <t>部署节点与申请规格</t>
  </si>
  <si>
    <t>节点</t>
  </si>
  <si>
    <t>IP地址</t>
  </si>
  <si>
    <t>角色</t>
  </si>
  <si>
    <t>CPU(核)</t>
  </si>
  <si>
    <t>内存(GB)</t>
  </si>
  <si>
    <t>磁盘(GB)</t>
  </si>
  <si>
    <t>操作系统 / 架构 / 说明</t>
  </si>
  <si>
    <t>Node1</t>
  </si>
  <si>
    <t>172.22.70.175</t>
  </si>
  <si>
    <t>K3s控制面+工作负载</t>
  </si>
  <si>
    <t>Ubuntu 22.04+ / Debian 12+；amd64。</t>
  </si>
  <si>
    <t>Node2</t>
  </si>
  <si>
    <t>172.22.70.176</t>
  </si>
  <si>
    <t>Node3</t>
  </si>
  <si>
    <t>172.22.70.174</t>
  </si>
  <si>
    <t>Data-1 / Data-2</t>
  </si>
  <si>
    <t>待分配（2个IP）</t>
  </si>
  <si>
    <t>数据库+缓存+对象存储+目录服务</t>
  </si>
  <si>
    <t>8/台</t>
  </si>
  <si>
    <t>16/台</t>
  </si>
  <si>
    <t>300/台+业务盘</t>
  </si>
  <si>
    <t>Ubuntu 22.04+ / Debian 12+；amd64。PG、Redis、Garage双节点方案待配置；业务数据盘容量待核定。</t>
  </si>
  <si>
    <t>Avatar版固定工作负载资源明细（生产 overlay）</t>
  </si>
  <si>
    <t>服务</t>
  </si>
  <si>
    <t>命名空间</t>
  </si>
  <si>
    <t>工作负载</t>
  </si>
  <si>
    <t>最小副本</t>
  </si>
  <si>
    <t>最大副本</t>
  </si>
  <si>
    <t>端口</t>
  </si>
  <si>
    <t>请求CPU/Pod</t>
  </si>
  <si>
    <t>请求内存Gi/Pod</t>
  </si>
  <si>
    <t>上限CPU/Pod</t>
  </si>
  <si>
    <t>上限内存Gi/Pod</t>
  </si>
  <si>
    <t>最小请求CPU</t>
  </si>
  <si>
    <t>最大请求CPU</t>
  </si>
  <si>
    <t>最小请求内存Gi</t>
  </si>
  <si>
    <t>最大请求内存Gi</t>
  </si>
  <si>
    <t>最大上限CPU</t>
  </si>
  <si>
    <t>最大上限内存Gi</t>
  </si>
  <si>
    <t>存储 / 说明</t>
  </si>
  <si>
    <t>nginx-gateway</t>
  </si>
  <si>
    <t>tego-system</t>
  </si>
  <si>
    <t>DaemonSet</t>
  </si>
  <si>
    <t>5178</t>
  </si>
  <si>
    <t>每节点1个</t>
  </si>
  <si>
    <t>tego-server + dind</t>
  </si>
  <si>
    <t>Deployment/HPA</t>
  </si>
  <si>
    <t>3100</t>
  </si>
  <si>
    <t>emptyDir 25Gi；临时存储上限24Gi/Pod</t>
  </si>
  <si>
    <t>tego-studio</t>
  </si>
  <si>
    <t>Deployment</t>
  </si>
  <si>
    <t>8080</t>
  </si>
  <si>
    <t>Avatar Studio</t>
  </si>
  <si>
    <t>tego-libreoffice</t>
  </si>
  <si>
    <t>2004</t>
  </si>
  <si>
    <t>WPS/Office文档转换</t>
  </si>
  <si>
    <t>tego-browser-pool</t>
  </si>
  <si>
    <t>tego-avatars</t>
  </si>
  <si>
    <t>9222</t>
  </si>
  <si>
    <t>内存emptyDir 2Gi/Pod</t>
  </si>
  <si>
    <t>K3s固定工作负载合计（不含K3s系统组件、2台数据存储节点、动态分身）</t>
  </si>
  <si>
    <t>无静态PVC</t>
  </si>
  <si>
    <t>K3s应用未配置PVC：tego-server使用emptyDir临时空间；PostgreSQL、Redis、Garage与OpenLDAP迁至2台外置数据/存储节点，业务数据盘容量需按实际数据量与备份周期核定。</t>
  </si>
  <si>
    <t>当前清单未部署独立日志归集、Prometheus/Grafana或ARMS；如有等保、审计或长期留存要求，需要另行申请日志与监控资源。</t>
  </si>
  <si>
    <t>共享数字分身弹性容量口径</t>
  </si>
  <si>
    <t>容量对象</t>
  </si>
  <si>
    <t>CPU上限/Pod</t>
  </si>
  <si>
    <t>内存上限/Pod</t>
  </si>
  <si>
    <t>默认扩缩参数</t>
  </si>
  <si>
    <t>容量计算口径</t>
  </si>
  <si>
    <t>说明</t>
  </si>
  <si>
    <t>共享数字分身（tego-claw）</t>
  </si>
  <si>
    <t>2Gi</t>
  </si>
  <si>
    <t>min=0；max=10</t>
  </si>
  <si>
    <t>副本数=ceil(在线用户数/50)，并限制在0~10</t>
  </si>
  <si>
    <t>按在线用户扩缩；默认空闲30分钟后可缩至0。</t>
  </si>
  <si>
    <t>共享分身单Pod并发</t>
  </si>
  <si>
    <t>/NA</t>
  </si>
  <si>
    <t>目标50名在线用户/副本</t>
  </si>
  <si>
    <t>单Pod全局同时运行turn默认上限16</t>
  </si>
  <si>
    <t>50是默认容量目标，不是硬件保证；需按实际技能与工具链压测校准。</t>
  </si>
  <si>
    <t>共享浏览器池</t>
  </si>
  <si>
    <t>4Gi</t>
  </si>
  <si>
    <t>固定2个Pod</t>
  </si>
  <si>
    <t>4CPU / 8Gi</t>
  </si>
  <si>
    <t>已计入上方固定工作负载合计；每Pod另有2Gi内存emptyDir。</t>
  </si>
  <si>
    <t>本版本仅提供共享数字分身。共申请5台服务器：3台K3s计算节点+2台数据/存储节点；默认扩缩参数仅用于初始估算，实际申请应按峰值在线用户和数据增长留足余量。</t>
  </si>
  <si>
    <t>配置依据与口径</t>
  </si>
  <si>
    <t>docs/README.md、docs/architecture/digital-avatar.md：以当前数字分身主线和Replica运行时为现行产品口径；history归档不作依据。</t>
  </si>
  <si>
    <t>docs/design/elastic-scaling/capacity-model.md、apps/server/src/models/digital-avatars.ts：仅共享数字分身；默认0~10副本、50名在线用户/副本。</t>
  </si>
  <si>
    <t>apps/deploy/product/tego/k8s/deploy-k8s.md、base/**：生产K3s采用3节点HA，每台8C/16G/300G最低配置；固定服务及Browser Pool部署清单。</t>
  </si>
  <si>
    <t>apps/deploy/product/tego/k8s/config.env：prod、3个节点IP、amd64、分身1C/2Gi上限、Browser Pool=2；历史兼容参数不作产品能力依据。</t>
  </si>
  <si>
    <t>本次申请按用户指定调整为2台外置数据/存储节点承载PG、Redis、OpenLDAP、Garage；双节点主备/集群、业务数据盘及备份策略需另行设计验证。</t>
  </si>
  <si>
    <t>TeGo-OS Avatar 数字分身版｜网络部署拓扑</t>
  </si>
  <si>
    <t>5台服务器：3台K3s计算节点 + 2台数据/存储节点｜外部业务入口 TCP 5178｜Data-1/Data-2 IP与高可用VIP待分配</t>
  </si>
  <si>
    <t>应用计算区｜K3s HA 集群（3台服务器）</t>
  </si>
  <si>
    <t>数据与存储区｜2台服务器</t>
  </si>
  <si>
    <t>客户端 / 办公网</t>
  </si>
  <si>
    <t>访问入口（可选复用现有设备）</t>
  </si>
  <si>
    <t>Node1
172.22.70.175
8C / 16G / 300G
K3s控制面+工作负载
Nginx hostPort 5178</t>
  </si>
  <si>
    <t>Node2
172.22.70.176
8C / 16G / 300G
K3s控制面+工作负载
Nginx hostPort 5178</t>
  </si>
  <si>
    <t>Node3
172.22.70.174
8C / 16G / 300G
K3s控制面+工作负载
Nginx hostPort 5178</t>
  </si>
  <si>
    <t>Data-1
IP待分配
8C / 16G / 300G系统盘
+ 业务数据盘（待核定）</t>
  </si>
  <si>
    <t>Data-2
IP待分配
8C / 16G / 300G系统盘
+ 业务数据盘（待核定）</t>
  </si>
  <si>
    <t>用户与客户端
Browser / Desktop
Office / Mobile
办公网、专网或VPN</t>
  </si>
  <si>
    <t>现有 DNS / VIP / LB / WAF
HTTPS 443 可在此终止
转发到任一或全部K3s节点 :5178
不计入本次5台服务器</t>
  </si>
  <si>
    <t>业务访问 →
5432 / 6379 / 389
3900 / 3902</t>
  </si>
  <si>
    <t>TCP 5178
→</t>
  </si>
  <si>
    <t>tego-system
Nginx Gateway :5178
tego-server :3100
tego-studio :8080
LibreOffice :2004</t>
  </si>
  <si>
    <t>tego-avatars
Browser Pool :9222
共享 tego-claw Pods
Traefik动态分身路由
Pod按在线用户弹性扩缩</t>
  </si>
  <si>
    <t>外置基础设施（计划双节点）
PostgreSQL :5432｜Redis :6379｜OpenLDAP :389
Garage S3 :3900｜Garage Web :3902
管理API :3903｜WebUI :3909（仅管理网）
主备/集群、VIP、备份与故障切换需专项配置验证</t>
  </si>
  <si>
    <t>外部依赖 / 出站访问
大模型 API（按配置地址）
Embedding / Reranker（按配置地址）
GHCR 镜像仓库：TCP 443
DNS：TCP/UDP 53｜NTP：UDP 123
按客户网络策略配置代理、白名单或离线镜像</t>
  </si>
  <si>
    <t>← 出站
443 / 53 / 123</t>
  </si>
  <si>
    <t>主业务链路：客户端 →（可选现有LB/WAF）→ 3台K3s节点 :5178 → K8s内部服务/共享分身Pod → 2台数据存储节点；数据库及管理端口不得直接暴露给用户网段。</t>
  </si>
  <si>
    <t>网络端口与访问控制建议</t>
  </si>
  <si>
    <t>方向</t>
  </si>
  <si>
    <t>源</t>
  </si>
  <si>
    <t>目标</t>
  </si>
  <si>
    <t>协议</t>
  </si>
  <si>
    <t>用途 / 防火墙要求</t>
  </si>
  <si>
    <t>业务入站</t>
  </si>
  <si>
    <t>用户或现有LB/WAF</t>
  </si>
  <si>
    <t>K3s Nginx Gateway</t>
  </si>
  <si>
    <t>TCP</t>
  </si>
  <si>
    <t>唯一对外业务入口；LB/VIP可转发至任一或全部3个K3s节点。</t>
  </si>
  <si>
    <t>管理入站</t>
  </si>
  <si>
    <t>运维管理网 / VPN</t>
  </si>
  <si>
    <t>K3s API Server</t>
  </si>
  <si>
    <t>6443</t>
  </si>
  <si>
    <t>仅管理网白名单，禁止互联网开放。</t>
  </si>
  <si>
    <t>节点间</t>
  </si>
  <si>
    <t>3个K3s节点</t>
  </si>
  <si>
    <t>etcd</t>
  </si>
  <si>
    <t>2379-2380</t>
  </si>
  <si>
    <t>仅K3s节点之间双向开放。</t>
  </si>
  <si>
    <t>Kubelet API</t>
  </si>
  <si>
    <t>10250</t>
  </si>
  <si>
    <t>Flannel VXLAN</t>
  </si>
  <si>
    <t>UDP</t>
  </si>
  <si>
    <t>8472</t>
  </si>
  <si>
    <t>数据访问</t>
  </si>
  <si>
    <t>tego-server / 分身Pod</t>
  </si>
  <si>
    <t>PostgreSQL</t>
  </si>
  <si>
    <t>5432</t>
  </si>
  <si>
    <t>仅K3s网段访问Data-1/Data-2；主备/VIP地址待定。</t>
  </si>
  <si>
    <t>tego-server</t>
  </si>
  <si>
    <t>Redis</t>
  </si>
  <si>
    <t>6379</t>
  </si>
  <si>
    <t>仅K3s网段访问Data-1/Data-2。</t>
  </si>
  <si>
    <t>认证访问</t>
  </si>
  <si>
    <t>OpenLDAP</t>
  </si>
  <si>
    <t>389</t>
  </si>
  <si>
    <t>仅K3s网段访问数据节点；如启用TLS需同步调整端口与证书。</t>
  </si>
  <si>
    <t>对象存储</t>
  </si>
  <si>
    <t>服务 / 分身Pod / Nginx</t>
  </si>
  <si>
    <t>Garage S3 / Web</t>
  </si>
  <si>
    <t>3900 / 3902</t>
  </si>
  <si>
    <t>应用数据与CDN访问，仅K3s网段开放。</t>
  </si>
  <si>
    <t>存储管理</t>
  </si>
  <si>
    <t>Garage Admin / WebUI</t>
  </si>
  <si>
    <t>3903 / 3909</t>
  </si>
  <si>
    <t>仅管理网白名单，禁止普通用户网段访问。</t>
  </si>
  <si>
    <t>集群内部</t>
  </si>
  <si>
    <t>K8s Pod</t>
  </si>
  <si>
    <t>ClusterIP服务</t>
  </si>
  <si>
    <t>3100/8080/2004/9222</t>
  </si>
  <si>
    <t>Server、Studio、LibreOffice、Browser CDP，仅集群内部访问。</t>
  </si>
  <si>
    <t>出站</t>
  </si>
  <si>
    <t>K3s服务 / 分身Pod</t>
  </si>
  <si>
    <t>AI API / GHCR / DNS / NTP</t>
  </si>
  <si>
    <t>TCP/UDP</t>
  </si>
  <si>
    <t>443 / 53 / 123</t>
  </si>
  <si>
    <t>按实际外部服务地址配置代理、白名单或离线访问。</t>
  </si>
  <si>
    <t>落地前待确认项</t>
  </si>
  <si>
    <t>1. Data-1、Data-2的IP、数据库/Redis/Garage主备或集群方式、VIP/DNS名称尚待交付方案确认。</t>
  </si>
  <si>
    <t>2. 数据节点每台暂按8C/16G/300G系统盘申请；数据库与Garage业务盘容量需按数据增长、留存周期、备份窗口和恢复目标核定。</t>
  </si>
  <si>
    <t>3. 如需域名HTTPS，建议复用客户现有LB/WAF在443终止TLS，再转发到K3s节点5178；该设备不计入本次5台服务器。</t>
  </si>
  <si>
    <t>4. 当前申请未包含独立日志/监控平台；等保、审计、堡垒机、漏洞扫描和备份介质如有要求需另行规划。</t>
  </si>
  <si>
    <t>依据：apps/deploy/product/tego/k8s/README.md、k3s/README.md、base/**、infrastructure/docker-compose.yml；服务器分工按本次5台申请口径调整。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</si>
</sst>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宋体"/>
    </font>
    <font>
      <b/>
      <sz val="11"/>
      <color theme="1"/>
      <name val="宋体"/>
      <family val="3"/>
      <charset val="134"/>
    </font>
    <font>
      <b/>
      <sz val="14"/>
      <color theme="1"/>
      <name val="仿宋"/>
      <family val="3"/>
      <charset val="134"/>
    </font>
    <font>
      <sz val="14"/>
      <color theme="1"/>
      <name val="仿宋"/>
      <family val="3"/>
      <charset val="134"/>
    </font>
    <font>
      <sz val="12"/>
      <color theme="1"/>
      <name val="微软雅黑"/>
      <family val="2"/>
      <charset val="134"/>
    </font>
    <font>
      <b/>
      <sz val="11"/>
      <color rgb="FFFFFFFF"/>
      <name val="宋体"/>
      <family val="3"/>
      <charset val="134"/>
    </font>
    <font>
      <i/>
      <sz val="11"/>
      <color rgb="FF3F4E5E"/>
      <name val="宋体"/>
      <family val="3"/>
      <charset val="134"/>
    </font>
    <font>
      <b/>
      <sz val="11"/>
      <color rgb="FF17365D"/>
      <name val="宋体"/>
      <family val="3"/>
      <charset val="134"/>
    </font>
    <font>
      <b/>
      <sz val="11"/>
      <color rgb="FF1F4E78"/>
      <name val="宋体"/>
      <family val="3"/>
      <charset val="134"/>
    </font>
    <font>
      <b/>
      <sz val="11"/>
      <color rgb="FF7F6000"/>
      <name val="宋体"/>
      <family val="3"/>
      <charset val="134"/>
    </font>
    <font>
      <b/>
      <sz val="11"/>
      <color rgb="FF375623"/>
      <name val="宋体"/>
      <family val="3"/>
      <charset val="134"/>
    </font>
    <font>
      <b/>
      <sz val="11"/>
      <color rgb="FF843C0C"/>
      <name val="宋体"/>
      <family val="3"/>
      <charset val="134"/>
    </font>
    <font>
      <b/>
      <sz val="11"/>
      <color rgb="FF60497A"/>
      <name val="宋体"/>
      <family val="3"/>
      <charset val="134"/>
    </font>
    <font>
      <b/>
      <sz val="11"/>
      <color rgb="FF5B9BD5"/>
      <name val="宋体"/>
      <family val="3"/>
      <charset val="134"/>
    </font>
    <font>
      <b/>
      <sz val="11"/>
      <color rgb="FF274E13"/>
      <name val="宋体"/>
      <family val="3"/>
      <charset val="134"/>
    </font>
    <font>
      <sz val="11"/>
      <color rgb="FF595959"/>
      <name val="宋体"/>
      <family val="3"/>
      <charset val="134"/>
    </font>
    <font>
      <sz val="11"/>
      <color rgb="FF7F6000"/>
      <name val="宋体"/>
      <family val="3"/>
      <charset val="134"/>
    </font>
    <font>
      <i/>
      <sz val="11"/>
      <color rgb="FF7F7F7F"/>
      <name val="宋体"/>
      <family val="3"/>
      <charset val="134"/>
    </font>
    <font>
      <sz val="9"/>
      <name val="FangSong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  <fill>
      <patternFill patternType="solid">
        <fgColor rgb="FFF2F2F2"/>
      </patternFill>
    </fill>
  </fills>
  <borders count="6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/>
      <diagonal/>
    </border>
    <border>
      <left/>
      <right style="medium">
        <color rgb="FF5B9BD5"/>
      </right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/>
      <right style="medium">
        <color rgb="FFBF9000"/>
      </right>
      <top style="medium">
        <color rgb="FFBF9000"/>
      </top>
      <bottom/>
      <diagonal/>
    </border>
    <border>
      <left style="medium">
        <color rgb="FFBF9000"/>
      </left>
      <right/>
      <top/>
      <bottom/>
      <diagonal/>
    </border>
    <border>
      <left/>
      <right style="medium">
        <color rgb="FFBF9000"/>
      </right>
      <top/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/>
      <right style="medium">
        <color rgb="FFBF9000"/>
      </right>
      <top/>
      <bottom style="medium">
        <color rgb="FFBF9000"/>
      </bottom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/>
      <right/>
      <top style="medium">
        <color rgb="FF70AD47"/>
      </top>
      <bottom/>
      <diagonal/>
    </border>
    <border>
      <left/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/>
      <top/>
      <bottom/>
      <diagonal/>
    </border>
    <border>
      <left/>
      <right style="medium">
        <color rgb="FF70AD47"/>
      </right>
      <top/>
      <bottom/>
      <diagonal/>
    </border>
    <border>
      <left style="medium">
        <color rgb="FF70AD47"/>
      </left>
      <right/>
      <top/>
      <bottom style="medium">
        <color rgb="FF70AD47"/>
      </bottom>
      <diagonal/>
    </border>
    <border>
      <left/>
      <right/>
      <top/>
      <bottom style="medium">
        <color rgb="FF70AD47"/>
      </bottom>
      <diagonal/>
    </border>
    <border>
      <left/>
      <right style="medium">
        <color rgb="FF70AD47"/>
      </right>
      <top/>
      <bottom style="medium">
        <color rgb="FF70AD47"/>
      </bottom>
      <diagonal/>
    </border>
    <border>
      <left style="medium">
        <color rgb="FFED7D31"/>
      </left>
      <right/>
      <top style="medium">
        <color rgb="FFED7D31"/>
      </top>
      <bottom/>
      <diagonal/>
    </border>
    <border>
      <left/>
      <right/>
      <top style="medium">
        <color rgb="FFED7D31"/>
      </top>
      <bottom/>
      <diagonal/>
    </border>
    <border>
      <left/>
      <right style="medium">
        <color rgb="FFED7D31"/>
      </right>
      <top style="medium">
        <color rgb="FFED7D31"/>
      </top>
      <bottom/>
      <diagonal/>
    </border>
    <border>
      <left style="medium">
        <color rgb="FFED7D31"/>
      </left>
      <right/>
      <top/>
      <bottom/>
      <diagonal/>
    </border>
    <border>
      <left/>
      <right style="medium">
        <color rgb="FFED7D31"/>
      </right>
      <top/>
      <bottom/>
      <diagonal/>
    </border>
    <border>
      <left style="medium">
        <color rgb="FFED7D31"/>
      </left>
      <right/>
      <top/>
      <bottom style="medium">
        <color rgb="FFED7D31"/>
      </bottom>
      <diagonal/>
    </border>
    <border>
      <left/>
      <right/>
      <top/>
      <bottom style="medium">
        <color rgb="FFED7D31"/>
      </bottom>
      <diagonal/>
    </border>
    <border>
      <left/>
      <right style="medium">
        <color rgb="FFED7D31"/>
      </right>
      <top/>
      <bottom style="medium">
        <color rgb="FFED7D31"/>
      </bottom>
      <diagonal/>
    </border>
    <border>
      <left style="medium">
        <color rgb="FF8064A2"/>
      </left>
      <right/>
      <top style="medium">
        <color rgb="FF8064A2"/>
      </top>
      <bottom/>
      <diagonal/>
    </border>
    <border>
      <left/>
      <right/>
      <top style="medium">
        <color rgb="FF8064A2"/>
      </top>
      <bottom/>
      <diagonal/>
    </border>
    <border>
      <left/>
      <right style="medium">
        <color rgb="FF8064A2"/>
      </right>
      <top style="medium">
        <color rgb="FF8064A2"/>
      </top>
      <bottom/>
      <diagonal/>
    </border>
    <border>
      <left style="medium">
        <color rgb="FF8064A2"/>
      </left>
      <right/>
      <top/>
      <bottom style="medium">
        <color rgb="FF8064A2"/>
      </bottom>
      <diagonal/>
    </border>
    <border>
      <left/>
      <right/>
      <top/>
      <bottom style="medium">
        <color rgb="FF8064A2"/>
      </bottom>
      <diagonal/>
    </border>
    <border>
      <left/>
      <right style="medium">
        <color rgb="FF8064A2"/>
      </right>
      <top/>
      <bottom style="medium">
        <color rgb="FF8064A2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9000"/>
      </left>
      <right/>
      <top style="thin">
        <color rgb="FFBF9000"/>
      </top>
      <bottom style="thin">
        <color rgb="FFBF9000"/>
      </bottom>
      <diagonal/>
    </border>
    <border>
      <left/>
      <right/>
      <top style="thin">
        <color rgb="FFBF9000"/>
      </top>
      <bottom style="thin">
        <color rgb="FFBF9000"/>
      </bottom>
      <diagonal/>
    </border>
    <border>
      <left/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medium">
        <color rgb="FF8064A2"/>
      </left>
      <right/>
      <top/>
      <bottom/>
      <diagonal/>
    </border>
    <border>
      <left/>
      <right style="medium">
        <color rgb="FF8064A2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9000"/>
      </left>
      <right/>
      <top style="thin">
        <color rgb="FFBF9000"/>
      </top>
      <bottom/>
      <diagonal/>
    </border>
    <border>
      <left/>
      <right/>
      <top style="thin">
        <color rgb="FFBF9000"/>
      </top>
      <bottom/>
      <diagonal/>
    </border>
    <border>
      <left/>
      <right style="thin">
        <color rgb="FFBF9000"/>
      </right>
      <top style="thin">
        <color rgb="FFBF9000"/>
      </top>
      <bottom/>
      <diagonal/>
    </border>
    <border>
      <left style="thin">
        <color rgb="FFBF9000"/>
      </left>
      <right/>
      <top/>
      <bottom/>
      <diagonal/>
    </border>
    <border>
      <left/>
      <right style="thin">
        <color rgb="FFBF9000"/>
      </right>
      <top/>
      <bottom/>
      <diagonal/>
    </border>
    <border>
      <left style="thin">
        <color rgb="FFBF9000"/>
      </left>
      <right/>
      <top/>
      <bottom style="thin">
        <color rgb="FFBF9000"/>
      </bottom>
      <diagonal/>
    </border>
    <border>
      <left/>
      <right/>
      <top/>
      <bottom style="thin">
        <color rgb="FFBF9000"/>
      </bottom>
      <diagonal/>
    </border>
    <border>
      <left/>
      <right style="thin">
        <color rgb="FFBF9000"/>
      </right>
      <top/>
      <bottom style="thin">
        <color rgb="FFBF9000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0" fillId="0" borderId="45" xfId="0" applyBorder="1" applyAlignment="1">
      <alignment vertical="center" wrapText="1"/>
    </xf>
    <xf numFmtId="0" fontId="0" fillId="0" borderId="45" xfId="0" applyBorder="1" applyAlignment="1">
      <alignment horizontal="center" vertical="center" wrapText="1"/>
    </xf>
    <xf numFmtId="2" fontId="0" fillId="0" borderId="45" xfId="0" applyNumberFormat="1" applyBorder="1" applyAlignment="1">
      <alignment horizontal="center" vertical="center" wrapText="1"/>
    </xf>
    <xf numFmtId="0" fontId="14" fillId="11" borderId="46" xfId="0" applyFont="1" applyFill="1" applyBorder="1" applyAlignment="1">
      <alignment vertical="center" wrapText="1"/>
    </xf>
    <xf numFmtId="2" fontId="14" fillId="11" borderId="46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6" borderId="7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7" borderId="15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10" fillId="8" borderId="23" xfId="0" applyFont="1" applyFill="1" applyBorder="1" applyAlignment="1">
      <alignment horizontal="center" vertical="center" wrapText="1"/>
    </xf>
    <xf numFmtId="0" fontId="10" fillId="8" borderId="24" xfId="0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 vertical="center" wrapText="1"/>
    </xf>
    <xf numFmtId="0" fontId="10" fillId="8" borderId="26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8" borderId="27" xfId="0" applyFont="1" applyFill="1" applyBorder="1" applyAlignment="1">
      <alignment horizontal="center" vertical="center" wrapText="1"/>
    </xf>
    <xf numFmtId="0" fontId="10" fillId="8" borderId="28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 wrapText="1"/>
    </xf>
    <xf numFmtId="0" fontId="10" fillId="8" borderId="30" xfId="0" applyFont="1" applyFill="1" applyBorder="1" applyAlignment="1">
      <alignment horizontal="center" vertical="center" wrapText="1"/>
    </xf>
    <xf numFmtId="0" fontId="11" fillId="9" borderId="31" xfId="0" applyFont="1" applyFill="1" applyBorder="1" applyAlignment="1">
      <alignment horizontal="center" vertical="center" wrapText="1"/>
    </xf>
    <xf numFmtId="0" fontId="11" fillId="9" borderId="32" xfId="0" applyFont="1" applyFill="1" applyBorder="1" applyAlignment="1">
      <alignment horizontal="center" vertical="center" wrapText="1"/>
    </xf>
    <xf numFmtId="0" fontId="11" fillId="9" borderId="33" xfId="0" applyFont="1" applyFill="1" applyBorder="1" applyAlignment="1">
      <alignment horizontal="center" vertical="center" wrapText="1"/>
    </xf>
    <xf numFmtId="0" fontId="11" fillId="9" borderId="34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9" borderId="35" xfId="0" applyFont="1" applyFill="1" applyBorder="1" applyAlignment="1">
      <alignment horizontal="center" vertical="center" wrapText="1"/>
    </xf>
    <xf numFmtId="0" fontId="11" fillId="9" borderId="36" xfId="0" applyFont="1" applyFill="1" applyBorder="1" applyAlignment="1">
      <alignment horizontal="center" vertical="center" wrapText="1"/>
    </xf>
    <xf numFmtId="0" fontId="11" fillId="9" borderId="37" xfId="0" applyFont="1" applyFill="1" applyBorder="1" applyAlignment="1">
      <alignment horizontal="center" vertical="center" wrapText="1"/>
    </xf>
    <xf numFmtId="0" fontId="11" fillId="9" borderId="38" xfId="0" applyFont="1" applyFill="1" applyBorder="1" applyAlignment="1">
      <alignment horizontal="center" vertical="center" wrapText="1"/>
    </xf>
    <xf numFmtId="0" fontId="12" fillId="10" borderId="39" xfId="0" applyFont="1" applyFill="1" applyBorder="1" applyAlignment="1">
      <alignment horizontal="center" vertical="center" wrapText="1"/>
    </xf>
    <xf numFmtId="0" fontId="12" fillId="10" borderId="40" xfId="0" applyFont="1" applyFill="1" applyBorder="1" applyAlignment="1">
      <alignment horizontal="center" vertical="center" wrapText="1"/>
    </xf>
    <xf numFmtId="0" fontId="12" fillId="10" borderId="41" xfId="0" applyFont="1" applyFill="1" applyBorder="1" applyAlignment="1">
      <alignment horizontal="center" vertical="center" wrapText="1"/>
    </xf>
    <xf numFmtId="0" fontId="12" fillId="10" borderId="42" xfId="0" applyFont="1" applyFill="1" applyBorder="1" applyAlignment="1">
      <alignment horizontal="center" vertical="center" wrapText="1"/>
    </xf>
    <xf numFmtId="0" fontId="12" fillId="10" borderId="43" xfId="0" applyFont="1" applyFill="1" applyBorder="1" applyAlignment="1">
      <alignment horizontal="center" vertical="center" wrapText="1"/>
    </xf>
    <xf numFmtId="0" fontId="12" fillId="10" borderId="4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center" vertical="center" wrapText="1"/>
    </xf>
    <xf numFmtId="0" fontId="0" fillId="0" borderId="45" xfId="0" applyBorder="1" applyAlignment="1">
      <alignment vertical="center" wrapText="1"/>
    </xf>
    <xf numFmtId="0" fontId="14" fillId="11" borderId="46" xfId="0" applyFont="1" applyFill="1" applyBorder="1" applyAlignment="1">
      <alignment vertical="center" wrapText="1"/>
    </xf>
    <xf numFmtId="0" fontId="14" fillId="11" borderId="46" xfId="0" applyFont="1" applyFill="1" applyBorder="1" applyAlignment="1">
      <alignment horizontal="center" vertical="center" wrapText="1"/>
    </xf>
    <xf numFmtId="2" fontId="14" fillId="11" borderId="46" xfId="0" applyNumberFormat="1" applyFont="1" applyFill="1" applyBorder="1" applyAlignment="1">
      <alignment horizontal="center" vertical="center" wrapText="1"/>
    </xf>
    <xf numFmtId="0" fontId="15" fillId="12" borderId="47" xfId="0" applyFont="1" applyFill="1" applyBorder="1" applyAlignment="1">
      <alignment vertical="center" wrapText="1"/>
    </xf>
    <xf numFmtId="0" fontId="15" fillId="12" borderId="48" xfId="0" applyFont="1" applyFill="1" applyBorder="1" applyAlignment="1">
      <alignment vertical="center" wrapText="1"/>
    </xf>
    <xf numFmtId="0" fontId="15" fillId="12" borderId="49" xfId="0" applyFont="1" applyFill="1" applyBorder="1" applyAlignment="1">
      <alignment vertical="center" wrapText="1"/>
    </xf>
    <xf numFmtId="0" fontId="15" fillId="12" borderId="50" xfId="0" applyFont="1" applyFill="1" applyBorder="1" applyAlignment="1">
      <alignment vertical="center" wrapText="1"/>
    </xf>
    <xf numFmtId="0" fontId="15" fillId="12" borderId="51" xfId="0" applyFont="1" applyFill="1" applyBorder="1" applyAlignment="1">
      <alignment vertical="center" wrapText="1"/>
    </xf>
    <xf numFmtId="0" fontId="15" fillId="12" borderId="52" xfId="0" applyFont="1" applyFill="1" applyBorder="1" applyAlignment="1">
      <alignment vertical="center" wrapText="1"/>
    </xf>
    <xf numFmtId="0" fontId="16" fillId="7" borderId="53" xfId="0" applyFont="1" applyFill="1" applyBorder="1" applyAlignment="1">
      <alignment vertical="center" wrapText="1"/>
    </xf>
    <xf numFmtId="0" fontId="16" fillId="7" borderId="54" xfId="0" applyFont="1" applyFill="1" applyBorder="1" applyAlignment="1">
      <alignment vertical="center" wrapText="1"/>
    </xf>
    <xf numFmtId="0" fontId="16" fillId="7" borderId="55" xfId="0" applyFont="1" applyFill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2" fillId="10" borderId="56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2" fillId="10" borderId="57" xfId="0" applyFont="1" applyFill="1" applyBorder="1" applyAlignment="1">
      <alignment horizontal="center" vertical="center" wrapText="1"/>
    </xf>
    <xf numFmtId="0" fontId="15" fillId="12" borderId="58" xfId="0" applyFont="1" applyFill="1" applyBorder="1" applyAlignment="1">
      <alignment vertical="center" wrapText="1"/>
    </xf>
    <xf numFmtId="0" fontId="15" fillId="12" borderId="59" xfId="0" applyFont="1" applyFill="1" applyBorder="1" applyAlignment="1">
      <alignment vertical="center" wrapText="1"/>
    </xf>
    <xf numFmtId="0" fontId="15" fillId="12" borderId="60" xfId="0" applyFont="1" applyFill="1" applyBorder="1" applyAlignment="1">
      <alignment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5" xfId="0" applyBorder="1" applyAlignment="1">
      <alignment horizontal="left" vertical="center" wrapText="1"/>
    </xf>
    <xf numFmtId="0" fontId="16" fillId="7" borderId="61" xfId="0" applyFont="1" applyFill="1" applyBorder="1" applyAlignment="1">
      <alignment vertical="center" wrapText="1"/>
    </xf>
    <xf numFmtId="0" fontId="16" fillId="7" borderId="62" xfId="0" applyFont="1" applyFill="1" applyBorder="1" applyAlignment="1">
      <alignment vertical="center" wrapText="1"/>
    </xf>
    <xf numFmtId="0" fontId="16" fillId="7" borderId="63" xfId="0" applyFont="1" applyFill="1" applyBorder="1" applyAlignment="1">
      <alignment vertical="center" wrapText="1"/>
    </xf>
    <xf numFmtId="0" fontId="16" fillId="7" borderId="64" xfId="0" applyFont="1" applyFill="1" applyBorder="1" applyAlignment="1">
      <alignment vertical="center" wrapText="1"/>
    </xf>
    <xf numFmtId="0" fontId="16" fillId="7" borderId="0" xfId="0" applyFont="1" applyFill="1" applyAlignment="1">
      <alignment vertical="center" wrapText="1"/>
    </xf>
    <xf numFmtId="0" fontId="16" fillId="7" borderId="65" xfId="0" applyFont="1" applyFill="1" applyBorder="1" applyAlignment="1">
      <alignment vertical="center" wrapText="1"/>
    </xf>
    <xf numFmtId="0" fontId="16" fillId="7" borderId="66" xfId="0" applyFont="1" applyFill="1" applyBorder="1" applyAlignment="1">
      <alignment vertical="center" wrapText="1"/>
    </xf>
    <xf numFmtId="0" fontId="16" fillId="7" borderId="67" xfId="0" applyFont="1" applyFill="1" applyBorder="1" applyAlignment="1">
      <alignment vertical="center" wrapText="1"/>
    </xf>
    <xf numFmtId="0" fontId="16" fillId="7" borderId="68" xfId="0" applyFont="1" applyFill="1" applyBorder="1" applyAlignment="1">
      <alignment vertical="center" wrapText="1"/>
    </xf>
    <xf numFmtId="0" fontId="17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opLeftCell="A4" workbookViewId="0"/>
  </sheetViews>
  <sheetFormatPr baseColWidth="10" defaultColWidth="9" defaultRowHeight="14"/>
  <cols>
    <col min="1" max="3" width="16" customWidth="1"/>
    <col min="4" max="4" width="24.33203125" customWidth="1"/>
    <col min="5" max="5" width="16" customWidth="1"/>
    <col min="6" max="6" width="23.1640625" customWidth="1"/>
    <col min="7" max="7" width="16" customWidth="1"/>
    <col min="8" max="8" width="21.83203125" customWidth="1"/>
    <col min="9" max="10" width="16" customWidth="1"/>
    <col min="11" max="11" width="35.83203125" style="3" customWidth="1"/>
  </cols>
  <sheetData>
    <row r="1" spans="1:11" s="1" customFormat="1" ht="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2" customFormat="1" ht="104" customHeight="1">
      <c r="A2" s="5">
        <v>1</v>
      </c>
      <c r="B2" s="19" t="s">
        <v>11</v>
      </c>
      <c r="C2" s="19" t="s">
        <v>12</v>
      </c>
      <c r="D2" s="10" t="s">
        <v>13</v>
      </c>
      <c r="E2" s="5" t="s">
        <v>14</v>
      </c>
      <c r="F2" s="5" t="s">
        <v>15</v>
      </c>
      <c r="G2" s="5">
        <v>3</v>
      </c>
      <c r="H2" s="5">
        <v>8</v>
      </c>
      <c r="I2" s="5">
        <v>16</v>
      </c>
      <c r="J2" s="5">
        <v>300</v>
      </c>
      <c r="K2" s="10" t="s">
        <v>16</v>
      </c>
    </row>
    <row r="3" spans="1:11" s="2" customFormat="1" ht="128" customHeight="1">
      <c r="A3" s="5">
        <v>2</v>
      </c>
      <c r="B3" s="19"/>
      <c r="C3" s="19"/>
      <c r="D3" s="10" t="s">
        <v>17</v>
      </c>
      <c r="E3" s="5" t="s">
        <v>14</v>
      </c>
      <c r="F3" s="5" t="s">
        <v>15</v>
      </c>
      <c r="G3" s="5">
        <v>2</v>
      </c>
      <c r="H3" s="5">
        <v>8</v>
      </c>
      <c r="I3" s="5">
        <v>16</v>
      </c>
      <c r="J3" s="5" t="s">
        <v>18</v>
      </c>
      <c r="K3" s="10" t="s">
        <v>19</v>
      </c>
    </row>
    <row r="4" spans="1:11" s="2" customFormat="1" ht="90.75" customHeight="1">
      <c r="A4" s="5">
        <v>3</v>
      </c>
      <c r="B4" s="19"/>
      <c r="C4" s="19"/>
      <c r="D4" s="10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24</v>
      </c>
      <c r="J4" s="5" t="s">
        <v>25</v>
      </c>
      <c r="K4" s="10" t="s">
        <v>26</v>
      </c>
    </row>
    <row r="5" spans="1:11" s="2" customFormat="1" ht="90.75" customHeight="1">
      <c r="A5" s="5">
        <v>4</v>
      </c>
      <c r="B5" s="19"/>
      <c r="C5" s="19"/>
      <c r="D5" s="10" t="s">
        <v>27</v>
      </c>
      <c r="E5" s="5" t="s">
        <v>28</v>
      </c>
      <c r="F5" s="5" t="s">
        <v>29</v>
      </c>
      <c r="G5" s="5" t="s">
        <v>23</v>
      </c>
      <c r="H5" s="5" t="s">
        <v>24</v>
      </c>
      <c r="I5" s="5" t="s">
        <v>24</v>
      </c>
      <c r="J5" s="5" t="s">
        <v>25</v>
      </c>
      <c r="K5" s="10" t="s">
        <v>30</v>
      </c>
    </row>
    <row r="6" spans="1:11" s="2" customFormat="1" ht="114.75" customHeight="1">
      <c r="A6" s="5">
        <v>5</v>
      </c>
      <c r="B6" s="19"/>
      <c r="C6" s="19"/>
      <c r="D6" s="10" t="s">
        <v>31</v>
      </c>
      <c r="E6" s="5" t="s">
        <v>32</v>
      </c>
      <c r="F6" s="5" t="s">
        <v>33</v>
      </c>
      <c r="G6" s="5" t="s">
        <v>23</v>
      </c>
      <c r="H6" s="5" t="s">
        <v>24</v>
      </c>
      <c r="I6" s="5" t="s">
        <v>24</v>
      </c>
      <c r="J6" s="5" t="s">
        <v>25</v>
      </c>
      <c r="K6" s="10" t="s">
        <v>34</v>
      </c>
    </row>
    <row r="7" spans="1:11" s="2" customFormat="1" ht="90.75" customHeight="1">
      <c r="A7" s="5">
        <v>6</v>
      </c>
      <c r="B7" s="19"/>
      <c r="C7" s="19"/>
      <c r="D7" s="10" t="s">
        <v>35</v>
      </c>
      <c r="E7" s="5" t="s">
        <v>36</v>
      </c>
      <c r="F7" s="5" t="s">
        <v>37</v>
      </c>
      <c r="G7" s="5" t="s">
        <v>38</v>
      </c>
      <c r="H7" s="5" t="s">
        <v>24</v>
      </c>
      <c r="I7" s="5" t="s">
        <v>24</v>
      </c>
      <c r="J7" s="5" t="s">
        <v>25</v>
      </c>
      <c r="K7" s="10" t="s">
        <v>39</v>
      </c>
    </row>
    <row r="8" spans="1:11" s="2" customFormat="1" ht="138.75" customHeight="1">
      <c r="A8" s="5">
        <v>7</v>
      </c>
      <c r="B8" s="19"/>
      <c r="C8" s="19"/>
      <c r="D8" s="11" t="s">
        <v>40</v>
      </c>
      <c r="E8" s="9" t="s">
        <v>41</v>
      </c>
      <c r="F8" s="5" t="s">
        <v>42</v>
      </c>
      <c r="G8" s="9" t="s">
        <v>43</v>
      </c>
      <c r="H8" s="5" t="s">
        <v>44</v>
      </c>
      <c r="I8" s="5" t="s">
        <v>45</v>
      </c>
      <c r="J8" s="5" t="s">
        <v>46</v>
      </c>
      <c r="K8" s="10" t="s">
        <v>47</v>
      </c>
    </row>
    <row r="9" spans="1:11" s="2" customFormat="1" ht="18">
      <c r="A9" s="6"/>
      <c r="B9" s="7"/>
      <c r="C9" s="7"/>
      <c r="D9" s="7"/>
      <c r="E9" s="7"/>
      <c r="F9" s="7"/>
      <c r="G9" s="7"/>
      <c r="H9" s="7"/>
      <c r="I9" s="7"/>
      <c r="J9" s="7"/>
      <c r="K9" s="8"/>
    </row>
    <row r="10" spans="1:11" s="2" customFormat="1" ht="18">
      <c r="A10" s="6"/>
      <c r="B10" s="7"/>
      <c r="C10" s="7"/>
      <c r="D10" s="7"/>
      <c r="E10" s="7"/>
      <c r="F10" s="7"/>
      <c r="G10" s="7"/>
      <c r="H10" s="7"/>
      <c r="I10" s="7"/>
      <c r="J10" s="7"/>
      <c r="K10" s="8"/>
    </row>
  </sheetData>
  <mergeCells count="2">
    <mergeCell ref="B2:B8"/>
    <mergeCell ref="C2:C8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showGridLines="0" tabSelected="1" workbookViewId="0">
      <selection sqref="A1:Q1"/>
    </sheetView>
  </sheetViews>
  <sheetFormatPr baseColWidth="10" defaultColWidth="9" defaultRowHeight="14"/>
  <cols>
    <col min="1" max="1" width="20" customWidth="1"/>
    <col min="2" max="2" width="14" customWidth="1"/>
    <col min="3" max="3" width="16" customWidth="1"/>
    <col min="4" max="5" width="10" customWidth="1"/>
    <col min="6" max="6" width="13" customWidth="1"/>
    <col min="7" max="7" width="12" customWidth="1"/>
    <col min="8" max="8" width="14" customWidth="1"/>
    <col min="9" max="9" width="12" customWidth="1"/>
    <col min="10" max="10" width="14" customWidth="1"/>
    <col min="11" max="12" width="12" customWidth="1"/>
    <col min="13" max="14" width="14" customWidth="1"/>
    <col min="15" max="15" width="12" customWidth="1"/>
    <col min="16" max="16" width="14" customWidth="1"/>
    <col min="17" max="17" width="31" customWidth="1"/>
  </cols>
  <sheetData>
    <row r="1" spans="1:17" ht="34" customHeight="1">
      <c r="A1" s="20" t="s">
        <v>48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24" customHeight="1">
      <c r="A2" s="21" t="s">
        <v>49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4" spans="1:17" ht="30" customHeight="1">
      <c r="A4" s="22" t="s">
        <v>50</v>
      </c>
      <c r="B4" s="23"/>
      <c r="C4" s="24"/>
      <c r="D4" s="31" t="s">
        <v>51</v>
      </c>
      <c r="E4" s="32" t="s">
        <v>52</v>
      </c>
      <c r="F4" s="33"/>
      <c r="G4" s="34"/>
      <c r="H4" s="31" t="s">
        <v>51</v>
      </c>
      <c r="I4" s="41" t="s">
        <v>53</v>
      </c>
      <c r="J4" s="42"/>
      <c r="K4" s="42"/>
      <c r="L4" s="42"/>
      <c r="M4" s="43"/>
      <c r="N4" s="31" t="s">
        <v>51</v>
      </c>
      <c r="O4" s="50" t="s">
        <v>54</v>
      </c>
      <c r="P4" s="51"/>
      <c r="Q4" s="52"/>
    </row>
    <row r="5" spans="1:17" ht="30" customHeight="1">
      <c r="A5" s="25"/>
      <c r="B5" s="26"/>
      <c r="C5" s="27"/>
      <c r="D5" s="31"/>
      <c r="E5" s="35"/>
      <c r="F5" s="36"/>
      <c r="G5" s="37"/>
      <c r="H5" s="31"/>
      <c r="I5" s="44"/>
      <c r="J5" s="45"/>
      <c r="K5" s="45"/>
      <c r="L5" s="45"/>
      <c r="M5" s="46"/>
      <c r="N5" s="31"/>
      <c r="O5" s="53"/>
      <c r="P5" s="54"/>
      <c r="Q5" s="55"/>
    </row>
    <row r="6" spans="1:17" ht="30" customHeight="1">
      <c r="A6" s="28"/>
      <c r="B6" s="29"/>
      <c r="C6" s="30"/>
      <c r="D6" s="31"/>
      <c r="E6" s="38"/>
      <c r="F6" s="39"/>
      <c r="G6" s="40"/>
      <c r="H6" s="31"/>
      <c r="I6" s="47"/>
      <c r="J6" s="48"/>
      <c r="K6" s="48"/>
      <c r="L6" s="48"/>
      <c r="M6" s="49"/>
      <c r="N6" s="31"/>
      <c r="O6" s="56"/>
      <c r="P6" s="57"/>
      <c r="Q6" s="58"/>
    </row>
    <row r="7" spans="1:17" ht="30" customHeight="1">
      <c r="I7" s="41" t="s">
        <v>55</v>
      </c>
      <c r="J7" s="42"/>
      <c r="K7" s="42"/>
      <c r="L7" s="42"/>
      <c r="M7" s="43"/>
      <c r="N7" s="31" t="s">
        <v>51</v>
      </c>
      <c r="O7" s="59" t="s">
        <v>56</v>
      </c>
      <c r="P7" s="60"/>
      <c r="Q7" s="61"/>
    </row>
    <row r="8" spans="1:17" ht="30" customHeight="1">
      <c r="I8" s="47"/>
      <c r="J8" s="48"/>
      <c r="K8" s="48"/>
      <c r="L8" s="48"/>
      <c r="M8" s="49"/>
      <c r="N8" s="31"/>
      <c r="O8" s="62"/>
      <c r="P8" s="63"/>
      <c r="Q8" s="64"/>
    </row>
    <row r="10" spans="1:17" ht="24" customHeight="1">
      <c r="A10" s="65" t="s">
        <v>57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7"/>
    </row>
    <row r="11" spans="1:17" ht="32" customHeight="1">
      <c r="A11" s="12" t="s">
        <v>58</v>
      </c>
      <c r="B11" s="68" t="s">
        <v>59</v>
      </c>
      <c r="C11" s="68"/>
      <c r="D11" s="68" t="s">
        <v>60</v>
      </c>
      <c r="E11" s="68"/>
      <c r="F11" s="68"/>
      <c r="G11" s="68" t="s">
        <v>61</v>
      </c>
      <c r="H11" s="68"/>
      <c r="I11" s="68" t="s">
        <v>62</v>
      </c>
      <c r="J11" s="68"/>
      <c r="K11" s="68" t="s">
        <v>63</v>
      </c>
      <c r="L11" s="68"/>
      <c r="M11" s="68" t="s">
        <v>64</v>
      </c>
      <c r="N11" s="68"/>
      <c r="O11" s="68"/>
      <c r="P11" s="68"/>
      <c r="Q11" s="68"/>
    </row>
    <row r="12" spans="1:17" ht="42" customHeight="1">
      <c r="A12" s="13" t="s">
        <v>65</v>
      </c>
      <c r="B12" s="69" t="s">
        <v>66</v>
      </c>
      <c r="C12" s="69"/>
      <c r="D12" s="69" t="s">
        <v>67</v>
      </c>
      <c r="E12" s="69"/>
      <c r="F12" s="69"/>
      <c r="G12" s="69">
        <v>8</v>
      </c>
      <c r="H12" s="69"/>
      <c r="I12" s="69">
        <v>16</v>
      </c>
      <c r="J12" s="69"/>
      <c r="K12" s="69">
        <v>300</v>
      </c>
      <c r="L12" s="69"/>
      <c r="M12" s="69" t="s">
        <v>68</v>
      </c>
      <c r="N12" s="69"/>
      <c r="O12" s="69"/>
      <c r="P12" s="69"/>
      <c r="Q12" s="69"/>
    </row>
    <row r="13" spans="1:17" ht="42" customHeight="1">
      <c r="A13" s="13" t="s">
        <v>69</v>
      </c>
      <c r="B13" s="69" t="s">
        <v>70</v>
      </c>
      <c r="C13" s="69"/>
      <c r="D13" s="69" t="s">
        <v>67</v>
      </c>
      <c r="E13" s="69"/>
      <c r="F13" s="69"/>
      <c r="G13" s="69">
        <v>8</v>
      </c>
      <c r="H13" s="69"/>
      <c r="I13" s="69">
        <v>16</v>
      </c>
      <c r="J13" s="69"/>
      <c r="K13" s="69">
        <v>300</v>
      </c>
      <c r="L13" s="69"/>
      <c r="M13" s="69" t="s">
        <v>68</v>
      </c>
      <c r="N13" s="69"/>
      <c r="O13" s="69"/>
      <c r="P13" s="69"/>
      <c r="Q13" s="69"/>
    </row>
    <row r="14" spans="1:17" ht="42" customHeight="1">
      <c r="A14" s="13" t="s">
        <v>71</v>
      </c>
      <c r="B14" s="69" t="s">
        <v>72</v>
      </c>
      <c r="C14" s="69"/>
      <c r="D14" s="69" t="s">
        <v>67</v>
      </c>
      <c r="E14" s="69"/>
      <c r="F14" s="69"/>
      <c r="G14" s="69">
        <v>8</v>
      </c>
      <c r="H14" s="69"/>
      <c r="I14" s="69">
        <v>16</v>
      </c>
      <c r="J14" s="69"/>
      <c r="K14" s="69">
        <v>300</v>
      </c>
      <c r="L14" s="69"/>
      <c r="M14" s="69" t="s">
        <v>68</v>
      </c>
      <c r="N14" s="69"/>
      <c r="O14" s="69"/>
      <c r="P14" s="69"/>
      <c r="Q14" s="69"/>
    </row>
    <row r="15" spans="1:17" ht="54" customHeight="1">
      <c r="A15" s="13" t="s">
        <v>73</v>
      </c>
      <c r="B15" s="69" t="s">
        <v>74</v>
      </c>
      <c r="C15" s="69"/>
      <c r="D15" s="69" t="s">
        <v>75</v>
      </c>
      <c r="E15" s="69"/>
      <c r="F15" s="69"/>
      <c r="G15" s="69" t="s">
        <v>76</v>
      </c>
      <c r="H15" s="69"/>
      <c r="I15" s="69" t="s">
        <v>77</v>
      </c>
      <c r="J15" s="69"/>
      <c r="K15" s="69" t="s">
        <v>78</v>
      </c>
      <c r="L15" s="69"/>
      <c r="M15" s="69" t="s">
        <v>79</v>
      </c>
      <c r="N15" s="69"/>
      <c r="O15" s="69"/>
      <c r="P15" s="69"/>
      <c r="Q15" s="69"/>
    </row>
    <row r="16" spans="1:17" ht="24" customHeight="1">
      <c r="A16" s="65" t="s">
        <v>80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7"/>
    </row>
    <row r="17" spans="1:17" ht="42" customHeight="1">
      <c r="A17" s="12" t="s">
        <v>81</v>
      </c>
      <c r="B17" s="12" t="s">
        <v>82</v>
      </c>
      <c r="C17" s="12" t="s">
        <v>83</v>
      </c>
      <c r="D17" s="12" t="s">
        <v>84</v>
      </c>
      <c r="E17" s="12" t="s">
        <v>85</v>
      </c>
      <c r="F17" s="12" t="s">
        <v>86</v>
      </c>
      <c r="G17" s="12" t="s">
        <v>87</v>
      </c>
      <c r="H17" s="12" t="s">
        <v>88</v>
      </c>
      <c r="I17" s="12" t="s">
        <v>89</v>
      </c>
      <c r="J17" s="12" t="s">
        <v>90</v>
      </c>
      <c r="K17" s="12" t="s">
        <v>91</v>
      </c>
      <c r="L17" s="12" t="s">
        <v>92</v>
      </c>
      <c r="M17" s="12" t="s">
        <v>93</v>
      </c>
      <c r="N17" s="12" t="s">
        <v>94</v>
      </c>
      <c r="O17" s="12" t="s">
        <v>95</v>
      </c>
      <c r="P17" s="12" t="s">
        <v>96</v>
      </c>
      <c r="Q17" s="12" t="s">
        <v>97</v>
      </c>
    </row>
    <row r="18" spans="1:17" ht="34" customHeight="1">
      <c r="A18" s="13" t="s">
        <v>98</v>
      </c>
      <c r="B18" s="13" t="s">
        <v>99</v>
      </c>
      <c r="C18" s="13" t="s">
        <v>100</v>
      </c>
      <c r="D18" s="14">
        <v>3</v>
      </c>
      <c r="E18" s="14">
        <v>3</v>
      </c>
      <c r="F18" s="14" t="s">
        <v>101</v>
      </c>
      <c r="G18" s="15">
        <v>0.05</v>
      </c>
      <c r="H18" s="15">
        <v>3.125E-2</v>
      </c>
      <c r="I18" s="15">
        <v>0.2</v>
      </c>
      <c r="J18" s="15">
        <v>0.125</v>
      </c>
      <c r="K18" s="15">
        <f>D18*G18</f>
        <v>0.15000000000000002</v>
      </c>
      <c r="L18" s="15">
        <f>E18*G18</f>
        <v>0.15000000000000002</v>
      </c>
      <c r="M18" s="15">
        <f>D18*H18</f>
        <v>9.375E-2</v>
      </c>
      <c r="N18" s="15">
        <f>E18*H18</f>
        <v>9.375E-2</v>
      </c>
      <c r="O18" s="15">
        <f>E18*I18</f>
        <v>0.60000000000000009</v>
      </c>
      <c r="P18" s="15">
        <f>E18*J18</f>
        <v>0.375</v>
      </c>
      <c r="Q18" s="13" t="s">
        <v>102</v>
      </c>
    </row>
    <row r="19" spans="1:17" ht="34" customHeight="1">
      <c r="A19" s="13" t="s">
        <v>103</v>
      </c>
      <c r="B19" s="13" t="s">
        <v>99</v>
      </c>
      <c r="C19" s="13" t="s">
        <v>104</v>
      </c>
      <c r="D19" s="14">
        <v>1</v>
      </c>
      <c r="E19" s="14">
        <v>3</v>
      </c>
      <c r="F19" s="14" t="s">
        <v>105</v>
      </c>
      <c r="G19" s="15">
        <v>0.75</v>
      </c>
      <c r="H19" s="15">
        <v>1</v>
      </c>
      <c r="I19" s="15">
        <v>4</v>
      </c>
      <c r="J19" s="15">
        <v>6</v>
      </c>
      <c r="K19" s="15">
        <f>D19*G19</f>
        <v>0.75</v>
      </c>
      <c r="L19" s="15">
        <f>E19*G19</f>
        <v>2.25</v>
      </c>
      <c r="M19" s="15">
        <f>D19*H19</f>
        <v>1</v>
      </c>
      <c r="N19" s="15">
        <f>E19*H19</f>
        <v>3</v>
      </c>
      <c r="O19" s="15">
        <f>E19*I19</f>
        <v>12</v>
      </c>
      <c r="P19" s="15">
        <f>E19*J19</f>
        <v>18</v>
      </c>
      <c r="Q19" s="13" t="s">
        <v>106</v>
      </c>
    </row>
    <row r="20" spans="1:17" ht="34" customHeight="1">
      <c r="A20" s="13" t="s">
        <v>107</v>
      </c>
      <c r="B20" s="13" t="s">
        <v>99</v>
      </c>
      <c r="C20" s="13" t="s">
        <v>108</v>
      </c>
      <c r="D20" s="14">
        <v>1</v>
      </c>
      <c r="E20" s="14">
        <v>1</v>
      </c>
      <c r="F20" s="14" t="s">
        <v>109</v>
      </c>
      <c r="G20" s="15">
        <v>0.1</v>
      </c>
      <c r="H20" s="15">
        <v>6.25E-2</v>
      </c>
      <c r="I20" s="15">
        <v>0.5</v>
      </c>
      <c r="J20" s="15">
        <v>0.25</v>
      </c>
      <c r="K20" s="15">
        <f>D20*G20</f>
        <v>0.1</v>
      </c>
      <c r="L20" s="15">
        <f>E20*G20</f>
        <v>0.1</v>
      </c>
      <c r="M20" s="15">
        <f>D20*H20</f>
        <v>6.25E-2</v>
      </c>
      <c r="N20" s="15">
        <f>E20*H20</f>
        <v>6.25E-2</v>
      </c>
      <c r="O20" s="15">
        <f>E20*I20</f>
        <v>0.5</v>
      </c>
      <c r="P20" s="15">
        <f>E20*J20</f>
        <v>0.25</v>
      </c>
      <c r="Q20" s="13" t="s">
        <v>110</v>
      </c>
    </row>
    <row r="21" spans="1:17" ht="34" customHeight="1">
      <c r="A21" s="13" t="s">
        <v>111</v>
      </c>
      <c r="B21" s="13" t="s">
        <v>99</v>
      </c>
      <c r="C21" s="13" t="s">
        <v>108</v>
      </c>
      <c r="D21" s="14">
        <v>1</v>
      </c>
      <c r="E21" s="14">
        <v>1</v>
      </c>
      <c r="F21" s="14" t="s">
        <v>112</v>
      </c>
      <c r="G21" s="15">
        <v>0.1</v>
      </c>
      <c r="H21" s="15">
        <v>0.25</v>
      </c>
      <c r="I21" s="15">
        <v>2</v>
      </c>
      <c r="J21" s="15">
        <v>2</v>
      </c>
      <c r="K21" s="15">
        <f>D21*G21</f>
        <v>0.1</v>
      </c>
      <c r="L21" s="15">
        <f>E21*G21</f>
        <v>0.1</v>
      </c>
      <c r="M21" s="15">
        <f>D21*H21</f>
        <v>0.25</v>
      </c>
      <c r="N21" s="15">
        <f>E21*H21</f>
        <v>0.25</v>
      </c>
      <c r="O21" s="15">
        <f>E21*I21</f>
        <v>2</v>
      </c>
      <c r="P21" s="15">
        <f>E21*J21</f>
        <v>2</v>
      </c>
      <c r="Q21" s="13" t="s">
        <v>113</v>
      </c>
    </row>
    <row r="22" spans="1:17" ht="34" customHeight="1">
      <c r="A22" s="13" t="s">
        <v>114</v>
      </c>
      <c r="B22" s="13" t="s">
        <v>115</v>
      </c>
      <c r="C22" s="13" t="s">
        <v>108</v>
      </c>
      <c r="D22" s="14">
        <v>2</v>
      </c>
      <c r="E22" s="14">
        <v>2</v>
      </c>
      <c r="F22" s="14" t="s">
        <v>116</v>
      </c>
      <c r="G22" s="15">
        <v>0.5</v>
      </c>
      <c r="H22" s="15">
        <v>1</v>
      </c>
      <c r="I22" s="15">
        <v>2</v>
      </c>
      <c r="J22" s="15">
        <v>4</v>
      </c>
      <c r="K22" s="15">
        <f>D22*G22</f>
        <v>1</v>
      </c>
      <c r="L22" s="15">
        <f>E22*G22</f>
        <v>1</v>
      </c>
      <c r="M22" s="15">
        <f>D22*H22</f>
        <v>2</v>
      </c>
      <c r="N22" s="15">
        <f>E22*H22</f>
        <v>2</v>
      </c>
      <c r="O22" s="15">
        <f>E22*I22</f>
        <v>4</v>
      </c>
      <c r="P22" s="15">
        <f>E22*J22</f>
        <v>8</v>
      </c>
      <c r="Q22" s="13" t="s">
        <v>117</v>
      </c>
    </row>
    <row r="23" spans="1:17" ht="38" customHeight="1">
      <c r="A23" s="70" t="s">
        <v>118</v>
      </c>
      <c r="B23" s="70"/>
      <c r="C23" s="70"/>
      <c r="D23" s="71"/>
      <c r="E23" s="71"/>
      <c r="F23" s="71"/>
      <c r="G23" s="72"/>
      <c r="H23" s="72"/>
      <c r="I23" s="72"/>
      <c r="J23" s="72"/>
      <c r="K23" s="17">
        <f t="shared" ref="K23:P23" si="0">SUM(K18:K22)</f>
        <v>2.1</v>
      </c>
      <c r="L23" s="17">
        <f t="shared" si="0"/>
        <v>3.6</v>
      </c>
      <c r="M23" s="17">
        <f t="shared" si="0"/>
        <v>3.40625</v>
      </c>
      <c r="N23" s="17">
        <f t="shared" si="0"/>
        <v>5.40625</v>
      </c>
      <c r="O23" s="17">
        <f t="shared" si="0"/>
        <v>19.100000000000001</v>
      </c>
      <c r="P23" s="17">
        <f t="shared" si="0"/>
        <v>28.625</v>
      </c>
      <c r="Q23" s="16" t="s">
        <v>119</v>
      </c>
    </row>
    <row r="24" spans="1:17" ht="30" customHeight="1">
      <c r="A24" s="73" t="s">
        <v>120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</row>
    <row r="25" spans="1:17" ht="30" customHeight="1">
      <c r="A25" s="76" t="s">
        <v>121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8"/>
    </row>
    <row r="27" spans="1:17" ht="24" customHeight="1">
      <c r="A27" s="65" t="s">
        <v>122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7"/>
    </row>
    <row r="28" spans="1:17" ht="32" customHeight="1">
      <c r="A28" s="68" t="s">
        <v>123</v>
      </c>
      <c r="B28" s="68"/>
      <c r="C28" s="68"/>
      <c r="D28" s="68"/>
      <c r="E28" s="68" t="s">
        <v>124</v>
      </c>
      <c r="F28" s="68"/>
      <c r="G28" s="68" t="s">
        <v>125</v>
      </c>
      <c r="H28" s="68"/>
      <c r="I28" s="68" t="s">
        <v>126</v>
      </c>
      <c r="J28" s="68"/>
      <c r="K28" s="68"/>
      <c r="L28" s="68" t="s">
        <v>127</v>
      </c>
      <c r="M28" s="68"/>
      <c r="N28" s="68"/>
      <c r="O28" s="68" t="s">
        <v>128</v>
      </c>
      <c r="P28" s="68"/>
      <c r="Q28" s="68"/>
    </row>
    <row r="29" spans="1:17" ht="42" customHeight="1">
      <c r="A29" s="69" t="s">
        <v>129</v>
      </c>
      <c r="B29" s="69"/>
      <c r="C29" s="69"/>
      <c r="D29" s="69"/>
      <c r="E29" s="69">
        <v>1</v>
      </c>
      <c r="F29" s="69"/>
      <c r="G29" s="69" t="s">
        <v>130</v>
      </c>
      <c r="H29" s="69"/>
      <c r="I29" s="69" t="s">
        <v>131</v>
      </c>
      <c r="J29" s="69"/>
      <c r="K29" s="69"/>
      <c r="L29" s="69" t="s">
        <v>132</v>
      </c>
      <c r="M29" s="69"/>
      <c r="N29" s="69"/>
      <c r="O29" s="69" t="s">
        <v>133</v>
      </c>
      <c r="P29" s="69"/>
      <c r="Q29" s="69"/>
    </row>
    <row r="30" spans="1:17" ht="42" customHeight="1">
      <c r="A30" s="69" t="s">
        <v>134</v>
      </c>
      <c r="B30" s="69"/>
      <c r="C30" s="69"/>
      <c r="D30" s="69"/>
      <c r="E30" s="69" t="s">
        <v>135</v>
      </c>
      <c r="F30" s="69"/>
      <c r="G30" s="69" t="s">
        <v>135</v>
      </c>
      <c r="H30" s="69"/>
      <c r="I30" s="69" t="s">
        <v>136</v>
      </c>
      <c r="J30" s="69"/>
      <c r="K30" s="69"/>
      <c r="L30" s="69" t="s">
        <v>137</v>
      </c>
      <c r="M30" s="69"/>
      <c r="N30" s="69"/>
      <c r="O30" s="69" t="s">
        <v>138</v>
      </c>
      <c r="P30" s="69"/>
      <c r="Q30" s="69"/>
    </row>
    <row r="31" spans="1:17" ht="42" customHeight="1">
      <c r="A31" s="69" t="s">
        <v>139</v>
      </c>
      <c r="B31" s="69"/>
      <c r="C31" s="69"/>
      <c r="D31" s="69"/>
      <c r="E31" s="69">
        <v>2</v>
      </c>
      <c r="F31" s="69"/>
      <c r="G31" s="69" t="s">
        <v>140</v>
      </c>
      <c r="H31" s="69"/>
      <c r="I31" s="69" t="s">
        <v>141</v>
      </c>
      <c r="J31" s="69"/>
      <c r="K31" s="69"/>
      <c r="L31" s="69" t="s">
        <v>142</v>
      </c>
      <c r="M31" s="69"/>
      <c r="N31" s="69"/>
      <c r="O31" s="69" t="s">
        <v>143</v>
      </c>
      <c r="P31" s="69"/>
      <c r="Q31" s="69"/>
    </row>
    <row r="32" spans="1:17" ht="38" customHeight="1">
      <c r="A32" s="79" t="s">
        <v>144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1"/>
    </row>
    <row r="34" spans="1:17" ht="24" customHeight="1">
      <c r="A34" s="65" t="s">
        <v>145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7"/>
    </row>
    <row r="35" spans="1:17" ht="30" customHeight="1">
      <c r="A35" s="18">
        <v>1</v>
      </c>
      <c r="B35" s="82" t="s">
        <v>146</v>
      </c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</row>
    <row r="36" spans="1:17" ht="30" customHeight="1">
      <c r="A36" s="18">
        <v>2</v>
      </c>
      <c r="B36" s="82" t="s">
        <v>147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</row>
    <row r="37" spans="1:17" ht="30" customHeight="1">
      <c r="A37" s="18">
        <v>3</v>
      </c>
      <c r="B37" s="82" t="s">
        <v>148</v>
      </c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</row>
    <row r="38" spans="1:17" ht="30" customHeight="1">
      <c r="A38" s="18">
        <v>4</v>
      </c>
      <c r="B38" s="82" t="s">
        <v>149</v>
      </c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  <row r="39" spans="1:17" ht="30" customHeight="1">
      <c r="A39" s="18">
        <v>5</v>
      </c>
      <c r="B39" s="82" t="s">
        <v>150</v>
      </c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</row>
  </sheetData>
  <mergeCells count="79">
    <mergeCell ref="B38:Q38"/>
    <mergeCell ref="B39:Q39"/>
    <mergeCell ref="A32:Q32"/>
    <mergeCell ref="A34:Q34"/>
    <mergeCell ref="B35:Q35"/>
    <mergeCell ref="B36:Q36"/>
    <mergeCell ref="B37:Q37"/>
    <mergeCell ref="O30:Q30"/>
    <mergeCell ref="A31:D31"/>
    <mergeCell ref="E31:F31"/>
    <mergeCell ref="G31:H31"/>
    <mergeCell ref="I31:K31"/>
    <mergeCell ref="L31:N31"/>
    <mergeCell ref="O31:Q31"/>
    <mergeCell ref="A30:D30"/>
    <mergeCell ref="E30:F30"/>
    <mergeCell ref="G30:H30"/>
    <mergeCell ref="I30:K30"/>
    <mergeCell ref="L30:N30"/>
    <mergeCell ref="O28:Q28"/>
    <mergeCell ref="A29:D29"/>
    <mergeCell ref="E29:F29"/>
    <mergeCell ref="G29:H29"/>
    <mergeCell ref="I29:K29"/>
    <mergeCell ref="L29:N29"/>
    <mergeCell ref="O29:Q29"/>
    <mergeCell ref="A28:D28"/>
    <mergeCell ref="E28:F28"/>
    <mergeCell ref="G28:H28"/>
    <mergeCell ref="I28:K28"/>
    <mergeCell ref="L28:N28"/>
    <mergeCell ref="A16:Q16"/>
    <mergeCell ref="A23:J23"/>
    <mergeCell ref="A24:Q24"/>
    <mergeCell ref="A25:Q25"/>
    <mergeCell ref="A27:Q27"/>
    <mergeCell ref="M14:Q14"/>
    <mergeCell ref="B15:C15"/>
    <mergeCell ref="D15:F15"/>
    <mergeCell ref="G15:H15"/>
    <mergeCell ref="I15:J15"/>
    <mergeCell ref="K15:L15"/>
    <mergeCell ref="M15:Q15"/>
    <mergeCell ref="B14:C14"/>
    <mergeCell ref="D14:F14"/>
    <mergeCell ref="G14:H14"/>
    <mergeCell ref="I14:J14"/>
    <mergeCell ref="K14:L14"/>
    <mergeCell ref="M12:Q12"/>
    <mergeCell ref="B13:C13"/>
    <mergeCell ref="D13:F13"/>
    <mergeCell ref="G13:H13"/>
    <mergeCell ref="I13:J13"/>
    <mergeCell ref="K13:L13"/>
    <mergeCell ref="M13:Q13"/>
    <mergeCell ref="B12:C12"/>
    <mergeCell ref="D12:F12"/>
    <mergeCell ref="G12:H12"/>
    <mergeCell ref="I12:J12"/>
    <mergeCell ref="K12:L12"/>
    <mergeCell ref="I7:M8"/>
    <mergeCell ref="N7:N8"/>
    <mergeCell ref="O7:Q8"/>
    <mergeCell ref="A10:Q10"/>
    <mergeCell ref="B11:C11"/>
    <mergeCell ref="D11:F11"/>
    <mergeCell ref="G11:H11"/>
    <mergeCell ref="I11:J11"/>
    <mergeCell ref="K11:L11"/>
    <mergeCell ref="M11:Q11"/>
    <mergeCell ref="A1:Q1"/>
    <mergeCell ref="A2:Q2"/>
    <mergeCell ref="A4:C6"/>
    <mergeCell ref="D4:D6"/>
    <mergeCell ref="E4:G6"/>
    <mergeCell ref="H4:H6"/>
    <mergeCell ref="I4:M6"/>
    <mergeCell ref="N4:N6"/>
    <mergeCell ref="O4:Q6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3"/>
  <sheetViews>
    <sheetView showGridLines="0" workbookViewId="0">
      <selection sqref="A1:AC1"/>
    </sheetView>
  </sheetViews>
  <sheetFormatPr baseColWidth="10" defaultColWidth="8.83203125" defaultRowHeight="14"/>
  <cols>
    <col min="1" max="4" width="11" customWidth="1"/>
    <col min="5" max="6" width="6" customWidth="1"/>
    <col min="7" max="10" width="11" customWidth="1"/>
    <col min="11" max="12" width="6" customWidth="1"/>
    <col min="13" max="21" width="10" customWidth="1"/>
    <col min="22" max="23" width="7" customWidth="1"/>
    <col min="24" max="29" width="10" customWidth="1"/>
  </cols>
  <sheetData>
    <row r="1" spans="1:29" ht="34" customHeight="1">
      <c r="A1" s="20" t="s">
        <v>151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ht="24" customHeight="1">
      <c r="A2" s="21" t="s">
        <v>152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1:29" ht="24" customHeight="1">
      <c r="M3" s="65" t="s">
        <v>153</v>
      </c>
      <c r="N3" s="66"/>
      <c r="O3" s="66"/>
      <c r="P3" s="66"/>
      <c r="Q3" s="66"/>
      <c r="R3" s="66"/>
      <c r="S3" s="66"/>
      <c r="T3" s="66"/>
      <c r="U3" s="67"/>
      <c r="X3" s="65" t="s">
        <v>154</v>
      </c>
      <c r="Y3" s="66"/>
      <c r="Z3" s="66"/>
      <c r="AA3" s="66"/>
      <c r="AB3" s="66"/>
      <c r="AC3" s="67"/>
    </row>
    <row r="4" spans="1:29" ht="24" customHeight="1">
      <c r="A4" s="65" t="s">
        <v>155</v>
      </c>
      <c r="B4" s="66"/>
      <c r="C4" s="66"/>
      <c r="D4" s="67"/>
      <c r="G4" s="65" t="s">
        <v>156</v>
      </c>
      <c r="H4" s="66"/>
      <c r="I4" s="66"/>
      <c r="J4" s="67"/>
      <c r="M4" s="41" t="s">
        <v>157</v>
      </c>
      <c r="N4" s="42"/>
      <c r="O4" s="43"/>
      <c r="P4" s="41" t="s">
        <v>158</v>
      </c>
      <c r="Q4" s="42"/>
      <c r="R4" s="43"/>
      <c r="S4" s="41" t="s">
        <v>159</v>
      </c>
      <c r="T4" s="42"/>
      <c r="U4" s="43"/>
      <c r="X4" s="50" t="s">
        <v>160</v>
      </c>
      <c r="Y4" s="51"/>
      <c r="Z4" s="52"/>
      <c r="AA4" s="50" t="s">
        <v>161</v>
      </c>
      <c r="AB4" s="51"/>
      <c r="AC4" s="52"/>
    </row>
    <row r="5" spans="1:29" ht="25" customHeight="1">
      <c r="A5" s="22" t="s">
        <v>162</v>
      </c>
      <c r="B5" s="23"/>
      <c r="C5" s="23"/>
      <c r="D5" s="24"/>
      <c r="G5" s="32" t="s">
        <v>163</v>
      </c>
      <c r="H5" s="33"/>
      <c r="I5" s="33"/>
      <c r="J5" s="34"/>
      <c r="M5" s="44"/>
      <c r="N5" s="45"/>
      <c r="O5" s="46"/>
      <c r="P5" s="44"/>
      <c r="Q5" s="45"/>
      <c r="R5" s="46"/>
      <c r="S5" s="44"/>
      <c r="T5" s="45"/>
      <c r="U5" s="46"/>
      <c r="V5" s="83" t="s">
        <v>164</v>
      </c>
      <c r="W5" s="83"/>
      <c r="X5" s="53"/>
      <c r="Y5" s="54"/>
      <c r="Z5" s="55"/>
      <c r="AA5" s="53"/>
      <c r="AB5" s="54"/>
      <c r="AC5" s="55"/>
    </row>
    <row r="6" spans="1:29" ht="25" customHeight="1">
      <c r="A6" s="25"/>
      <c r="B6" s="26"/>
      <c r="C6" s="26"/>
      <c r="D6" s="27"/>
      <c r="E6" s="83" t="s">
        <v>165</v>
      </c>
      <c r="F6" s="83"/>
      <c r="G6" s="35"/>
      <c r="H6" s="36"/>
      <c r="I6" s="36"/>
      <c r="J6" s="37"/>
      <c r="K6" s="83" t="s">
        <v>165</v>
      </c>
      <c r="L6" s="83"/>
      <c r="M6" s="44"/>
      <c r="N6" s="45"/>
      <c r="O6" s="46"/>
      <c r="P6" s="44"/>
      <c r="Q6" s="45"/>
      <c r="R6" s="46"/>
      <c r="S6" s="44"/>
      <c r="T6" s="45"/>
      <c r="U6" s="46"/>
      <c r="V6" s="83"/>
      <c r="W6" s="83"/>
      <c r="X6" s="53"/>
      <c r="Y6" s="54"/>
      <c r="Z6" s="55"/>
      <c r="AA6" s="53"/>
      <c r="AB6" s="54"/>
      <c r="AC6" s="55"/>
    </row>
    <row r="7" spans="1:29" ht="25" customHeight="1">
      <c r="A7" s="25"/>
      <c r="B7" s="26"/>
      <c r="C7" s="26"/>
      <c r="D7" s="27"/>
      <c r="E7" s="83"/>
      <c r="F7" s="83"/>
      <c r="G7" s="35"/>
      <c r="H7" s="36"/>
      <c r="I7" s="36"/>
      <c r="J7" s="37"/>
      <c r="K7" s="83"/>
      <c r="L7" s="83"/>
      <c r="M7" s="44"/>
      <c r="N7" s="45"/>
      <c r="O7" s="46"/>
      <c r="P7" s="44"/>
      <c r="Q7" s="45"/>
      <c r="R7" s="46"/>
      <c r="S7" s="44"/>
      <c r="T7" s="45"/>
      <c r="U7" s="46"/>
      <c r="V7" s="83"/>
      <c r="W7" s="83"/>
      <c r="X7" s="53"/>
      <c r="Y7" s="54"/>
      <c r="Z7" s="55"/>
      <c r="AA7" s="53"/>
      <c r="AB7" s="54"/>
      <c r="AC7" s="55"/>
    </row>
    <row r="8" spans="1:29" ht="25" customHeight="1">
      <c r="A8" s="25"/>
      <c r="B8" s="26"/>
      <c r="C8" s="26"/>
      <c r="D8" s="27"/>
      <c r="E8" s="83"/>
      <c r="F8" s="83"/>
      <c r="G8" s="35"/>
      <c r="H8" s="36"/>
      <c r="I8" s="36"/>
      <c r="J8" s="37"/>
      <c r="K8" s="83"/>
      <c r="L8" s="83"/>
      <c r="M8" s="47"/>
      <c r="N8" s="48"/>
      <c r="O8" s="49"/>
      <c r="P8" s="47"/>
      <c r="Q8" s="48"/>
      <c r="R8" s="49"/>
      <c r="S8" s="47"/>
      <c r="T8" s="48"/>
      <c r="U8" s="49"/>
      <c r="V8" s="83"/>
      <c r="W8" s="83"/>
      <c r="X8" s="56"/>
      <c r="Y8" s="57"/>
      <c r="Z8" s="58"/>
      <c r="AA8" s="56"/>
      <c r="AB8" s="57"/>
      <c r="AC8" s="58"/>
    </row>
    <row r="9" spans="1:29" ht="25" customHeight="1">
      <c r="A9" s="28"/>
      <c r="B9" s="29"/>
      <c r="C9" s="29"/>
      <c r="D9" s="30"/>
      <c r="G9" s="38"/>
      <c r="H9" s="39"/>
      <c r="I9" s="39"/>
      <c r="J9" s="40"/>
      <c r="M9" s="41" t="s">
        <v>166</v>
      </c>
      <c r="N9" s="42"/>
      <c r="O9" s="42"/>
      <c r="P9" s="42"/>
      <c r="Q9" s="43"/>
      <c r="R9" s="59" t="s">
        <v>167</v>
      </c>
      <c r="S9" s="60"/>
      <c r="T9" s="60"/>
      <c r="U9" s="61"/>
      <c r="V9" s="83"/>
      <c r="W9" s="83"/>
      <c r="X9" s="50" t="s">
        <v>168</v>
      </c>
      <c r="Y9" s="51"/>
      <c r="Z9" s="51"/>
      <c r="AA9" s="51"/>
      <c r="AB9" s="51"/>
      <c r="AC9" s="52"/>
    </row>
    <row r="10" spans="1:29" ht="25" customHeight="1">
      <c r="M10" s="44"/>
      <c r="N10" s="45"/>
      <c r="O10" s="45"/>
      <c r="P10" s="45"/>
      <c r="Q10" s="46"/>
      <c r="R10" s="84"/>
      <c r="S10" s="85"/>
      <c r="T10" s="85"/>
      <c r="U10" s="86"/>
      <c r="V10" s="83"/>
      <c r="W10" s="83"/>
      <c r="X10" s="53"/>
      <c r="Y10" s="54"/>
      <c r="Z10" s="54"/>
      <c r="AA10" s="54"/>
      <c r="AB10" s="54"/>
      <c r="AC10" s="55"/>
    </row>
    <row r="11" spans="1:29" ht="25" customHeight="1">
      <c r="M11" s="44"/>
      <c r="N11" s="45"/>
      <c r="O11" s="45"/>
      <c r="P11" s="45"/>
      <c r="Q11" s="46"/>
      <c r="R11" s="84"/>
      <c r="S11" s="85"/>
      <c r="T11" s="85"/>
      <c r="U11" s="86"/>
      <c r="X11" s="53"/>
      <c r="Y11" s="54"/>
      <c r="Z11" s="54"/>
      <c r="AA11" s="54"/>
      <c r="AB11" s="54"/>
      <c r="AC11" s="55"/>
    </row>
    <row r="12" spans="1:29" ht="25" customHeight="1">
      <c r="M12" s="44"/>
      <c r="N12" s="45"/>
      <c r="O12" s="45"/>
      <c r="P12" s="45"/>
      <c r="Q12" s="46"/>
      <c r="R12" s="84"/>
      <c r="S12" s="85"/>
      <c r="T12" s="85"/>
      <c r="U12" s="86"/>
      <c r="X12" s="53"/>
      <c r="Y12" s="54"/>
      <c r="Z12" s="54"/>
      <c r="AA12" s="54"/>
      <c r="AB12" s="54"/>
      <c r="AC12" s="55"/>
    </row>
    <row r="13" spans="1:29" ht="25" customHeight="1">
      <c r="A13" s="59" t="s">
        <v>169</v>
      </c>
      <c r="B13" s="60"/>
      <c r="C13" s="60"/>
      <c r="D13" s="60"/>
      <c r="E13" s="60"/>
      <c r="F13" s="60"/>
      <c r="G13" s="60"/>
      <c r="H13" s="60"/>
      <c r="I13" s="60"/>
      <c r="J13" s="61"/>
      <c r="M13" s="44"/>
      <c r="N13" s="45"/>
      <c r="O13" s="45"/>
      <c r="P13" s="45"/>
      <c r="Q13" s="46"/>
      <c r="R13" s="84"/>
      <c r="S13" s="85"/>
      <c r="T13" s="85"/>
      <c r="U13" s="86"/>
      <c r="X13" s="53"/>
      <c r="Y13" s="54"/>
      <c r="Z13" s="54"/>
      <c r="AA13" s="54"/>
      <c r="AB13" s="54"/>
      <c r="AC13" s="55"/>
    </row>
    <row r="14" spans="1:29" ht="25" customHeight="1">
      <c r="A14" s="84"/>
      <c r="B14" s="85"/>
      <c r="C14" s="85"/>
      <c r="D14" s="85"/>
      <c r="E14" s="85"/>
      <c r="F14" s="85"/>
      <c r="G14" s="85"/>
      <c r="H14" s="85"/>
      <c r="I14" s="85"/>
      <c r="J14" s="86"/>
      <c r="K14" s="83" t="s">
        <v>170</v>
      </c>
      <c r="L14" s="83"/>
      <c r="M14" s="47"/>
      <c r="N14" s="48"/>
      <c r="O14" s="48"/>
      <c r="P14" s="48"/>
      <c r="Q14" s="49"/>
      <c r="R14" s="62"/>
      <c r="S14" s="63"/>
      <c r="T14" s="63"/>
      <c r="U14" s="64"/>
      <c r="X14" s="56"/>
      <c r="Y14" s="57"/>
      <c r="Z14" s="57"/>
      <c r="AA14" s="57"/>
      <c r="AB14" s="57"/>
      <c r="AC14" s="58"/>
    </row>
    <row r="15" spans="1:29" ht="24" customHeight="1">
      <c r="A15" s="84"/>
      <c r="B15" s="85"/>
      <c r="C15" s="85"/>
      <c r="D15" s="85"/>
      <c r="E15" s="85"/>
      <c r="F15" s="85"/>
      <c r="G15" s="85"/>
      <c r="H15" s="85"/>
      <c r="I15" s="85"/>
      <c r="J15" s="86"/>
      <c r="K15" s="83"/>
      <c r="L15" s="83"/>
    </row>
    <row r="16" spans="1:29" ht="24" customHeight="1">
      <c r="A16" s="84"/>
      <c r="B16" s="85"/>
      <c r="C16" s="85"/>
      <c r="D16" s="85"/>
      <c r="E16" s="85"/>
      <c r="F16" s="85"/>
      <c r="G16" s="85"/>
      <c r="H16" s="85"/>
      <c r="I16" s="85"/>
      <c r="J16" s="86"/>
      <c r="K16" s="83"/>
      <c r="L16" s="83"/>
    </row>
    <row r="17" spans="1:29" ht="24" customHeight="1">
      <c r="A17" s="84"/>
      <c r="B17" s="85"/>
      <c r="C17" s="85"/>
      <c r="D17" s="85"/>
      <c r="E17" s="85"/>
      <c r="F17" s="85"/>
      <c r="G17" s="85"/>
      <c r="H17" s="85"/>
      <c r="I17" s="85"/>
      <c r="J17" s="86"/>
      <c r="K17" s="83"/>
      <c r="L17" s="83"/>
    </row>
    <row r="18" spans="1:29" ht="24" customHeight="1">
      <c r="A18" s="84"/>
      <c r="B18" s="85"/>
      <c r="C18" s="85"/>
      <c r="D18" s="85"/>
      <c r="E18" s="85"/>
      <c r="F18" s="85"/>
      <c r="G18" s="85"/>
      <c r="H18" s="85"/>
      <c r="I18" s="85"/>
      <c r="J18" s="86"/>
    </row>
    <row r="19" spans="1:29" ht="24" customHeight="1">
      <c r="A19" s="62"/>
      <c r="B19" s="63"/>
      <c r="C19" s="63"/>
      <c r="D19" s="63"/>
      <c r="E19" s="63"/>
      <c r="F19" s="63"/>
      <c r="G19" s="63"/>
      <c r="H19" s="63"/>
      <c r="I19" s="63"/>
      <c r="J19" s="64"/>
    </row>
    <row r="20" spans="1:29" ht="34" customHeight="1">
      <c r="A20" s="87" t="s">
        <v>171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9"/>
    </row>
    <row r="22" spans="1:29" ht="24" customHeight="1">
      <c r="A22" s="65" t="s">
        <v>172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7"/>
    </row>
    <row r="23" spans="1:29" ht="32" customHeight="1">
      <c r="A23" s="68" t="s">
        <v>173</v>
      </c>
      <c r="B23" s="68"/>
      <c r="C23" s="68"/>
      <c r="D23" s="68" t="s">
        <v>174</v>
      </c>
      <c r="E23" s="68"/>
      <c r="F23" s="68"/>
      <c r="G23" s="68"/>
      <c r="H23" s="68" t="s">
        <v>175</v>
      </c>
      <c r="I23" s="68"/>
      <c r="J23" s="68"/>
      <c r="K23" s="68"/>
      <c r="L23" s="68" t="s">
        <v>176</v>
      </c>
      <c r="M23" s="68"/>
      <c r="N23" s="68"/>
      <c r="O23" s="68" t="s">
        <v>86</v>
      </c>
      <c r="P23" s="68"/>
      <c r="Q23" s="68"/>
      <c r="R23" s="68" t="s">
        <v>177</v>
      </c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</row>
    <row r="24" spans="1:29" ht="28" customHeight="1">
      <c r="A24" s="90" t="s">
        <v>178</v>
      </c>
      <c r="B24" s="90"/>
      <c r="C24" s="90"/>
      <c r="D24" s="90" t="s">
        <v>179</v>
      </c>
      <c r="E24" s="90"/>
      <c r="F24" s="90"/>
      <c r="G24" s="90"/>
      <c r="H24" s="90" t="s">
        <v>180</v>
      </c>
      <c r="I24" s="90"/>
      <c r="J24" s="90"/>
      <c r="K24" s="90"/>
      <c r="L24" s="90" t="s">
        <v>181</v>
      </c>
      <c r="M24" s="90"/>
      <c r="N24" s="90"/>
      <c r="O24" s="90" t="s">
        <v>101</v>
      </c>
      <c r="P24" s="90"/>
      <c r="Q24" s="90"/>
      <c r="R24" s="91" t="s">
        <v>182</v>
      </c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</row>
    <row r="25" spans="1:29" ht="28" customHeight="1">
      <c r="A25" s="90" t="s">
        <v>183</v>
      </c>
      <c r="B25" s="90"/>
      <c r="C25" s="90"/>
      <c r="D25" s="90" t="s">
        <v>184</v>
      </c>
      <c r="E25" s="90"/>
      <c r="F25" s="90"/>
      <c r="G25" s="90"/>
      <c r="H25" s="90" t="s">
        <v>185</v>
      </c>
      <c r="I25" s="90"/>
      <c r="J25" s="90"/>
      <c r="K25" s="90"/>
      <c r="L25" s="90" t="s">
        <v>181</v>
      </c>
      <c r="M25" s="90"/>
      <c r="N25" s="90"/>
      <c r="O25" s="90" t="s">
        <v>186</v>
      </c>
      <c r="P25" s="90"/>
      <c r="Q25" s="90"/>
      <c r="R25" s="91" t="s">
        <v>187</v>
      </c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</row>
    <row r="26" spans="1:29" ht="28" customHeight="1">
      <c r="A26" s="90" t="s">
        <v>188</v>
      </c>
      <c r="B26" s="90"/>
      <c r="C26" s="90"/>
      <c r="D26" s="90" t="s">
        <v>189</v>
      </c>
      <c r="E26" s="90"/>
      <c r="F26" s="90"/>
      <c r="G26" s="90"/>
      <c r="H26" s="90" t="s">
        <v>190</v>
      </c>
      <c r="I26" s="90"/>
      <c r="J26" s="90"/>
      <c r="K26" s="90"/>
      <c r="L26" s="90" t="s">
        <v>181</v>
      </c>
      <c r="M26" s="90"/>
      <c r="N26" s="90"/>
      <c r="O26" s="90" t="s">
        <v>191</v>
      </c>
      <c r="P26" s="90"/>
      <c r="Q26" s="90"/>
      <c r="R26" s="91" t="s">
        <v>192</v>
      </c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</row>
    <row r="27" spans="1:29" ht="28" customHeight="1">
      <c r="A27" s="90" t="s">
        <v>188</v>
      </c>
      <c r="B27" s="90"/>
      <c r="C27" s="90"/>
      <c r="D27" s="90" t="s">
        <v>189</v>
      </c>
      <c r="E27" s="90"/>
      <c r="F27" s="90"/>
      <c r="G27" s="90"/>
      <c r="H27" s="90" t="s">
        <v>193</v>
      </c>
      <c r="I27" s="90"/>
      <c r="J27" s="90"/>
      <c r="K27" s="90"/>
      <c r="L27" s="90" t="s">
        <v>181</v>
      </c>
      <c r="M27" s="90"/>
      <c r="N27" s="90"/>
      <c r="O27" s="90" t="s">
        <v>194</v>
      </c>
      <c r="P27" s="90"/>
      <c r="Q27" s="90"/>
      <c r="R27" s="91" t="s">
        <v>192</v>
      </c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</row>
    <row r="28" spans="1:29" ht="28" customHeight="1">
      <c r="A28" s="90" t="s">
        <v>188</v>
      </c>
      <c r="B28" s="90"/>
      <c r="C28" s="90"/>
      <c r="D28" s="90" t="s">
        <v>189</v>
      </c>
      <c r="E28" s="90"/>
      <c r="F28" s="90"/>
      <c r="G28" s="90"/>
      <c r="H28" s="90" t="s">
        <v>195</v>
      </c>
      <c r="I28" s="90"/>
      <c r="J28" s="90"/>
      <c r="K28" s="90"/>
      <c r="L28" s="90" t="s">
        <v>196</v>
      </c>
      <c r="M28" s="90"/>
      <c r="N28" s="90"/>
      <c r="O28" s="90" t="s">
        <v>197</v>
      </c>
      <c r="P28" s="90"/>
      <c r="Q28" s="90"/>
      <c r="R28" s="91" t="s">
        <v>192</v>
      </c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</row>
    <row r="29" spans="1:29" ht="28" customHeight="1">
      <c r="A29" s="90" t="s">
        <v>198</v>
      </c>
      <c r="B29" s="90"/>
      <c r="C29" s="90"/>
      <c r="D29" s="90" t="s">
        <v>199</v>
      </c>
      <c r="E29" s="90"/>
      <c r="F29" s="90"/>
      <c r="G29" s="90"/>
      <c r="H29" s="90" t="s">
        <v>200</v>
      </c>
      <c r="I29" s="90"/>
      <c r="J29" s="90"/>
      <c r="K29" s="90"/>
      <c r="L29" s="90" t="s">
        <v>181</v>
      </c>
      <c r="M29" s="90"/>
      <c r="N29" s="90"/>
      <c r="O29" s="90" t="s">
        <v>201</v>
      </c>
      <c r="P29" s="90"/>
      <c r="Q29" s="90"/>
      <c r="R29" s="91" t="s">
        <v>202</v>
      </c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</row>
    <row r="30" spans="1:29" ht="28" customHeight="1">
      <c r="A30" s="90" t="s">
        <v>198</v>
      </c>
      <c r="B30" s="90"/>
      <c r="C30" s="90"/>
      <c r="D30" s="90" t="s">
        <v>203</v>
      </c>
      <c r="E30" s="90"/>
      <c r="F30" s="90"/>
      <c r="G30" s="90"/>
      <c r="H30" s="90" t="s">
        <v>204</v>
      </c>
      <c r="I30" s="90"/>
      <c r="J30" s="90"/>
      <c r="K30" s="90"/>
      <c r="L30" s="90" t="s">
        <v>181</v>
      </c>
      <c r="M30" s="90"/>
      <c r="N30" s="90"/>
      <c r="O30" s="90" t="s">
        <v>205</v>
      </c>
      <c r="P30" s="90"/>
      <c r="Q30" s="90"/>
      <c r="R30" s="91" t="s">
        <v>206</v>
      </c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</row>
    <row r="31" spans="1:29" ht="28" customHeight="1">
      <c r="A31" s="90" t="s">
        <v>207</v>
      </c>
      <c r="B31" s="90"/>
      <c r="C31" s="90"/>
      <c r="D31" s="90" t="s">
        <v>203</v>
      </c>
      <c r="E31" s="90"/>
      <c r="F31" s="90"/>
      <c r="G31" s="90"/>
      <c r="H31" s="90" t="s">
        <v>208</v>
      </c>
      <c r="I31" s="90"/>
      <c r="J31" s="90"/>
      <c r="K31" s="90"/>
      <c r="L31" s="90" t="s">
        <v>181</v>
      </c>
      <c r="M31" s="90"/>
      <c r="N31" s="90"/>
      <c r="O31" s="90" t="s">
        <v>209</v>
      </c>
      <c r="P31" s="90"/>
      <c r="Q31" s="90"/>
      <c r="R31" s="91" t="s">
        <v>210</v>
      </c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</row>
    <row r="32" spans="1:29" ht="28" customHeight="1">
      <c r="A32" s="90" t="s">
        <v>211</v>
      </c>
      <c r="B32" s="90"/>
      <c r="C32" s="90"/>
      <c r="D32" s="90" t="s">
        <v>212</v>
      </c>
      <c r="E32" s="90"/>
      <c r="F32" s="90"/>
      <c r="G32" s="90"/>
      <c r="H32" s="90" t="s">
        <v>213</v>
      </c>
      <c r="I32" s="90"/>
      <c r="J32" s="90"/>
      <c r="K32" s="90"/>
      <c r="L32" s="90" t="s">
        <v>181</v>
      </c>
      <c r="M32" s="90"/>
      <c r="N32" s="90"/>
      <c r="O32" s="90" t="s">
        <v>214</v>
      </c>
      <c r="P32" s="90"/>
      <c r="Q32" s="90"/>
      <c r="R32" s="91" t="s">
        <v>215</v>
      </c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</row>
    <row r="33" spans="1:29" ht="28" customHeight="1">
      <c r="A33" s="90" t="s">
        <v>216</v>
      </c>
      <c r="B33" s="90"/>
      <c r="C33" s="90"/>
      <c r="D33" s="90" t="s">
        <v>184</v>
      </c>
      <c r="E33" s="90"/>
      <c r="F33" s="90"/>
      <c r="G33" s="90"/>
      <c r="H33" s="90" t="s">
        <v>217</v>
      </c>
      <c r="I33" s="90"/>
      <c r="J33" s="90"/>
      <c r="K33" s="90"/>
      <c r="L33" s="90" t="s">
        <v>181</v>
      </c>
      <c r="M33" s="90"/>
      <c r="N33" s="90"/>
      <c r="O33" s="90" t="s">
        <v>218</v>
      </c>
      <c r="P33" s="90"/>
      <c r="Q33" s="90"/>
      <c r="R33" s="91" t="s">
        <v>219</v>
      </c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</row>
    <row r="34" spans="1:29" ht="28" customHeight="1">
      <c r="A34" s="90" t="s">
        <v>220</v>
      </c>
      <c r="B34" s="90"/>
      <c r="C34" s="90"/>
      <c r="D34" s="90" t="s">
        <v>221</v>
      </c>
      <c r="E34" s="90"/>
      <c r="F34" s="90"/>
      <c r="G34" s="90"/>
      <c r="H34" s="90" t="s">
        <v>222</v>
      </c>
      <c r="I34" s="90"/>
      <c r="J34" s="90"/>
      <c r="K34" s="90"/>
      <c r="L34" s="90" t="s">
        <v>181</v>
      </c>
      <c r="M34" s="90"/>
      <c r="N34" s="90"/>
      <c r="O34" s="90" t="s">
        <v>223</v>
      </c>
      <c r="P34" s="90"/>
      <c r="Q34" s="90"/>
      <c r="R34" s="91" t="s">
        <v>224</v>
      </c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</row>
    <row r="35" spans="1:29" ht="28" customHeight="1">
      <c r="A35" s="90" t="s">
        <v>225</v>
      </c>
      <c r="B35" s="90"/>
      <c r="C35" s="90"/>
      <c r="D35" s="90" t="s">
        <v>226</v>
      </c>
      <c r="E35" s="90"/>
      <c r="F35" s="90"/>
      <c r="G35" s="90"/>
      <c r="H35" s="90" t="s">
        <v>227</v>
      </c>
      <c r="I35" s="90"/>
      <c r="J35" s="90"/>
      <c r="K35" s="90"/>
      <c r="L35" s="90" t="s">
        <v>228</v>
      </c>
      <c r="M35" s="90"/>
      <c r="N35" s="90"/>
      <c r="O35" s="90" t="s">
        <v>229</v>
      </c>
      <c r="P35" s="90"/>
      <c r="Q35" s="90"/>
      <c r="R35" s="91" t="s">
        <v>230</v>
      </c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</row>
    <row r="37" spans="1:29" ht="24" customHeight="1">
      <c r="A37" s="65" t="s">
        <v>231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7"/>
    </row>
    <row r="38" spans="1:29" ht="30" customHeight="1">
      <c r="A38" s="92" t="s">
        <v>232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4"/>
    </row>
    <row r="39" spans="1:29" ht="30" customHeight="1">
      <c r="A39" s="95" t="s">
        <v>233</v>
      </c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7"/>
    </row>
    <row r="40" spans="1:29" ht="30" customHeight="1">
      <c r="A40" s="95" t="s">
        <v>234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7"/>
    </row>
    <row r="41" spans="1:29" ht="30" customHeight="1">
      <c r="A41" s="98" t="s">
        <v>235</v>
      </c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100"/>
    </row>
    <row r="43" spans="1:29" ht="28" customHeight="1">
      <c r="A43" s="101" t="s">
        <v>236</v>
      </c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</sheetData>
  <mergeCells count="107">
    <mergeCell ref="A43:AC43"/>
    <mergeCell ref="A37:AC37"/>
    <mergeCell ref="A38:AC38"/>
    <mergeCell ref="A39:AC39"/>
    <mergeCell ref="A40:AC40"/>
    <mergeCell ref="A41:AC41"/>
    <mergeCell ref="R34:AC34"/>
    <mergeCell ref="A35:C35"/>
    <mergeCell ref="D35:G35"/>
    <mergeCell ref="H35:K35"/>
    <mergeCell ref="L35:N35"/>
    <mergeCell ref="O35:Q35"/>
    <mergeCell ref="R35:AC35"/>
    <mergeCell ref="A34:C34"/>
    <mergeCell ref="D34:G34"/>
    <mergeCell ref="H34:K34"/>
    <mergeCell ref="L34:N34"/>
    <mergeCell ref="O34:Q34"/>
    <mergeCell ref="R32:AC32"/>
    <mergeCell ref="A33:C33"/>
    <mergeCell ref="D33:G33"/>
    <mergeCell ref="H33:K33"/>
    <mergeCell ref="L33:N33"/>
    <mergeCell ref="O33:Q33"/>
    <mergeCell ref="R33:AC33"/>
    <mergeCell ref="A32:C32"/>
    <mergeCell ref="D32:G32"/>
    <mergeCell ref="H32:K32"/>
    <mergeCell ref="L32:N32"/>
    <mergeCell ref="O32:Q32"/>
    <mergeCell ref="R30:AC30"/>
    <mergeCell ref="A31:C31"/>
    <mergeCell ref="D31:G31"/>
    <mergeCell ref="H31:K31"/>
    <mergeCell ref="L31:N31"/>
    <mergeCell ref="O31:Q31"/>
    <mergeCell ref="R31:AC31"/>
    <mergeCell ref="A30:C30"/>
    <mergeCell ref="D30:G30"/>
    <mergeCell ref="H30:K30"/>
    <mergeCell ref="L30:N30"/>
    <mergeCell ref="O30:Q30"/>
    <mergeCell ref="R28:AC28"/>
    <mergeCell ref="A29:C29"/>
    <mergeCell ref="D29:G29"/>
    <mergeCell ref="H29:K29"/>
    <mergeCell ref="L29:N29"/>
    <mergeCell ref="O29:Q29"/>
    <mergeCell ref="R29:AC29"/>
    <mergeCell ref="A28:C28"/>
    <mergeCell ref="D28:G28"/>
    <mergeCell ref="H28:K28"/>
    <mergeCell ref="L28:N28"/>
    <mergeCell ref="O28:Q28"/>
    <mergeCell ref="R26:AC26"/>
    <mergeCell ref="A27:C27"/>
    <mergeCell ref="D27:G27"/>
    <mergeCell ref="H27:K27"/>
    <mergeCell ref="L27:N27"/>
    <mergeCell ref="O27:Q27"/>
    <mergeCell ref="R27:AC27"/>
    <mergeCell ref="A26:C26"/>
    <mergeCell ref="D26:G26"/>
    <mergeCell ref="H26:K26"/>
    <mergeCell ref="L26:N26"/>
    <mergeCell ref="O26:Q26"/>
    <mergeCell ref="R24:AC24"/>
    <mergeCell ref="A25:C25"/>
    <mergeCell ref="D25:G25"/>
    <mergeCell ref="H25:K25"/>
    <mergeCell ref="L25:N25"/>
    <mergeCell ref="O25:Q25"/>
    <mergeCell ref="R25:AC25"/>
    <mergeCell ref="A24:C24"/>
    <mergeCell ref="D24:G24"/>
    <mergeCell ref="H24:K24"/>
    <mergeCell ref="L24:N24"/>
    <mergeCell ref="O24:Q24"/>
    <mergeCell ref="A20:AC20"/>
    <mergeCell ref="A22:AC22"/>
    <mergeCell ref="A23:C23"/>
    <mergeCell ref="D23:G23"/>
    <mergeCell ref="H23:K23"/>
    <mergeCell ref="L23:N23"/>
    <mergeCell ref="O23:Q23"/>
    <mergeCell ref="R23:AC23"/>
    <mergeCell ref="X4:Z8"/>
    <mergeCell ref="AA4:AC8"/>
    <mergeCell ref="X9:AC14"/>
    <mergeCell ref="A13:J19"/>
    <mergeCell ref="K14:L17"/>
    <mergeCell ref="A1:AC1"/>
    <mergeCell ref="A2:AC2"/>
    <mergeCell ref="A4:D4"/>
    <mergeCell ref="A5:D9"/>
    <mergeCell ref="E6:F8"/>
    <mergeCell ref="G4:J4"/>
    <mergeCell ref="G5:J9"/>
    <mergeCell ref="K6:L8"/>
    <mergeCell ref="M3:U3"/>
    <mergeCell ref="M4:O8"/>
    <mergeCell ref="P4:R8"/>
    <mergeCell ref="S4:U8"/>
    <mergeCell ref="M9:Q14"/>
    <mergeCell ref="R9:U14"/>
    <mergeCell ref="V5:W10"/>
    <mergeCell ref="X3:AC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服务器资源清单</vt:lpstr>
      <vt:lpstr>应用架构+部署架构</vt:lpstr>
      <vt:lpstr>网络部署拓扑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yangtao</cp:lastModifiedBy>
  <dcterms:created xsi:type="dcterms:W3CDTF">2026-07-10T07:29:07Z</dcterms:created>
  <dcterms:modified xsi:type="dcterms:W3CDTF">2026-07-10T07:29:07Z</dcterms:modified>
</cp:coreProperties>
</file>